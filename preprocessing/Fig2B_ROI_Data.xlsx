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Taylor_Uselman\Segmentation_Methods\03_GitHubRepos\CodeUseFor_\preprocessing\"/>
    </mc:Choice>
  </mc:AlternateContent>
  <xr:revisionPtr revIDLastSave="0" documentId="13_ncr:1_{916DC0AF-A432-4439-B398-AE79CEC1B2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ROIData" sheetId="1" r:id="rId1"/>
    <sheet name="SNR_Data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 a="1"/>
  <c r="C3" i="3" s="1"/>
  <c r="H25" i="2"/>
  <c r="H49" i="2"/>
  <c r="H73" i="2"/>
  <c r="H24" i="2"/>
  <c r="H48" i="2"/>
  <c r="H72" i="2"/>
  <c r="H23" i="2"/>
  <c r="H47" i="2"/>
  <c r="H71" i="2"/>
  <c r="H22" i="2"/>
  <c r="H46" i="2"/>
  <c r="H70" i="2"/>
  <c r="H21" i="2"/>
  <c r="H45" i="2"/>
  <c r="H69" i="2"/>
  <c r="H20" i="2"/>
  <c r="H44" i="2"/>
  <c r="H68" i="2"/>
  <c r="H19" i="2"/>
  <c r="H43" i="2"/>
  <c r="H67" i="2"/>
  <c r="H18" i="2"/>
  <c r="H42" i="2"/>
  <c r="H66" i="2"/>
  <c r="H17" i="2"/>
  <c r="H41" i="2"/>
  <c r="H65" i="2"/>
  <c r="H16" i="2"/>
  <c r="H40" i="2"/>
  <c r="H64" i="2"/>
  <c r="H15" i="2"/>
  <c r="H39" i="2"/>
  <c r="H63" i="2"/>
  <c r="H14" i="2"/>
  <c r="H38" i="2"/>
  <c r="H62" i="2"/>
  <c r="H13" i="2"/>
  <c r="H37" i="2"/>
  <c r="H61" i="2"/>
  <c r="H12" i="2"/>
  <c r="H36" i="2"/>
  <c r="H60" i="2"/>
  <c r="H11" i="2"/>
  <c r="H35" i="2"/>
  <c r="H59" i="2"/>
  <c r="H10" i="2"/>
  <c r="H34" i="2"/>
  <c r="H58" i="2"/>
  <c r="H9" i="2"/>
  <c r="H33" i="2"/>
  <c r="H57" i="2"/>
  <c r="H8" i="2"/>
  <c r="H32" i="2"/>
  <c r="H56" i="2"/>
  <c r="H7" i="2"/>
  <c r="H31" i="2"/>
  <c r="H55" i="2"/>
  <c r="H6" i="2"/>
  <c r="H30" i="2"/>
  <c r="H54" i="2"/>
  <c r="H5" i="2"/>
  <c r="H29" i="2"/>
  <c r="H53" i="2"/>
  <c r="H4" i="2"/>
  <c r="H28" i="2"/>
  <c r="H52" i="2"/>
  <c r="H3" i="2"/>
  <c r="H27" i="2"/>
  <c r="H51" i="2"/>
  <c r="G50" i="2"/>
  <c r="G26" i="2"/>
  <c r="H2" i="2"/>
  <c r="H26" i="2"/>
  <c r="H50" i="2"/>
  <c r="G25" i="2"/>
  <c r="G49" i="2"/>
  <c r="G73" i="2"/>
  <c r="G24" i="2"/>
  <c r="G48" i="2"/>
  <c r="G72" i="2"/>
  <c r="G23" i="2"/>
  <c r="G47" i="2"/>
  <c r="G71" i="2"/>
  <c r="G22" i="2"/>
  <c r="G46" i="2"/>
  <c r="G70" i="2"/>
  <c r="G21" i="2"/>
  <c r="G45" i="2"/>
  <c r="G69" i="2"/>
  <c r="G20" i="2"/>
  <c r="G44" i="2"/>
  <c r="G68" i="2"/>
  <c r="G19" i="2"/>
  <c r="G43" i="2"/>
  <c r="G67" i="2"/>
  <c r="G18" i="2"/>
  <c r="G42" i="2"/>
  <c r="G66" i="2"/>
  <c r="G17" i="2"/>
  <c r="G41" i="2"/>
  <c r="G65" i="2"/>
  <c r="G16" i="2"/>
  <c r="G40" i="2"/>
  <c r="G64" i="2"/>
  <c r="G15" i="2"/>
  <c r="G39" i="2"/>
  <c r="G63" i="2"/>
  <c r="G14" i="2"/>
  <c r="G38" i="2"/>
  <c r="G62" i="2"/>
  <c r="G13" i="2"/>
  <c r="G37" i="2"/>
  <c r="G61" i="2"/>
  <c r="G12" i="2"/>
  <c r="G36" i="2"/>
  <c r="G60" i="2"/>
  <c r="G11" i="2"/>
  <c r="G35" i="2"/>
  <c r="G59" i="2"/>
  <c r="G10" i="2"/>
  <c r="G34" i="2"/>
  <c r="G58" i="2"/>
  <c r="G9" i="2"/>
  <c r="G33" i="2"/>
  <c r="G57" i="2"/>
  <c r="G8" i="2"/>
  <c r="G32" i="2"/>
  <c r="G56" i="2"/>
  <c r="G7" i="2"/>
  <c r="G31" i="2"/>
  <c r="G55" i="2"/>
  <c r="G6" i="2"/>
  <c r="G30" i="2"/>
  <c r="G54" i="2"/>
  <c r="G5" i="2"/>
  <c r="G29" i="2"/>
  <c r="G53" i="2"/>
  <c r="G4" i="2"/>
  <c r="G28" i="2"/>
  <c r="G52" i="2"/>
  <c r="G3" i="2"/>
  <c r="G27" i="2"/>
  <c r="G51" i="2"/>
  <c r="G2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<sst xmlns="http://schemas.openxmlformats.org/spreadsheetml/2006/main" count="1313" uniqueCount="468">
  <si>
    <t>Image</t>
  </si>
  <si>
    <t>ROI</t>
  </si>
  <si>
    <t>Brain1</t>
  </si>
  <si>
    <t>Brain2</t>
  </si>
  <si>
    <t>Brain3</t>
  </si>
  <si>
    <t>Brain4</t>
  </si>
  <si>
    <t>Brain5</t>
  </si>
  <si>
    <t>Muscle1</t>
  </si>
  <si>
    <t>Muscle2</t>
  </si>
  <si>
    <t>Noise1</t>
  </si>
  <si>
    <t>Noise2</t>
  </si>
  <si>
    <t>Noise3</t>
  </si>
  <si>
    <t>Noise4</t>
  </si>
  <si>
    <t>StDev SI</t>
  </si>
  <si>
    <t>Avg SI</t>
  </si>
  <si>
    <t>PTSD_WT_01_pre.hdr.rba.nii:Brain1:64</t>
  </si>
  <si>
    <t>PTSD_WT_01_pre.hdr.rba.nii:Brain2:54</t>
  </si>
  <si>
    <t>PTSD_WT_01_pre.hdr.rba.nii:Brain3:44</t>
  </si>
  <si>
    <t>PTSD_WT_01_pre.hdr.rba.nii:Brain4:34</t>
  </si>
  <si>
    <t>PTSD_WT_01_pre.hdr.rba.nii:Brain5:24</t>
  </si>
  <si>
    <t>PTSD_WT_01_pre.hdr.rba.nii:Muscle1:28</t>
  </si>
  <si>
    <t>PTSD_WT_01_pre.hdr.rba.nii:Muscle2:28</t>
  </si>
  <si>
    <t>PTSD_WT_01_pre.hdr.rba.nii:Muscle3:39</t>
  </si>
  <si>
    <t>PTSD_WT_01_pre.hdr.rba.nii:Muscle4:39</t>
  </si>
  <si>
    <t>PTSD_WT_01_pre.hdr.rba.nii:Muscle5:50</t>
  </si>
  <si>
    <t>PTSD_WT_01_pre.hdr.rba.nii:Noise1:74</t>
  </si>
  <si>
    <t>PTSD_WT_01_pre.hdr.rba.nii:Noise2:72</t>
  </si>
  <si>
    <t>PTSD_WT_01_pre.hdr.rba.nii:Noise3:78</t>
  </si>
  <si>
    <t>PTSD_WT_01_pre.hdr.rba.nii:Noise4:76</t>
  </si>
  <si>
    <t>PTSD_WT_01_pre.hdr.rba.nii:Noise5:76</t>
  </si>
  <si>
    <t>PTSD_WT_02_pre.hdr.rba.nii:Brain1:64</t>
  </si>
  <si>
    <t>PTSD_WT_02_pre.hdr.rba.nii:Brain2:54</t>
  </si>
  <si>
    <t>PTSD_WT_02_pre.hdr.rba.nii:Brain3:44</t>
  </si>
  <si>
    <t>PTSD_WT_02_pre.hdr.rba.nii:Brain4:34</t>
  </si>
  <si>
    <t>PTSD_WT_02_pre.hdr.rba.nii:Brain5:24</t>
  </si>
  <si>
    <t>PTSD_WT_02_pre.hdr.rba.nii:Muscle1:28</t>
  </si>
  <si>
    <t>PTSD_WT_02_pre.hdr.rba.nii:Muscle2:28</t>
  </si>
  <si>
    <t>PTSD_WT_02_pre.hdr.rba.nii:Muscle3:39</t>
  </si>
  <si>
    <t>PTSD_WT_02_pre.hdr.rba.nii:Muscle4:39</t>
  </si>
  <si>
    <t>PTSD_WT_02_pre.hdr.rba.nii:Muscle5:50</t>
  </si>
  <si>
    <t>PTSD_WT_02_pre.hdr.rba.nii:Noise1:74</t>
  </si>
  <si>
    <t>PTSD_WT_02_pre.hdr.rba.nii:Noise2:72</t>
  </si>
  <si>
    <t>PTSD_WT_02_pre.hdr.rba.nii:Noise3:78</t>
  </si>
  <si>
    <t>PTSD_WT_02_pre.hdr.rba.nii:Noise4:76</t>
  </si>
  <si>
    <t>PTSD_WT_02_pre.hdr.rba.nii:Noise5:76</t>
  </si>
  <si>
    <t>PTSD_WT_03_pre.hdr.rba.nii:Brain1:64</t>
  </si>
  <si>
    <t>PTSD_WT_03_pre.hdr.rba.nii:Brain2:54</t>
  </si>
  <si>
    <t>PTSD_WT_03_pre.hdr.rba.nii:Brain3:44</t>
  </si>
  <si>
    <t>PTSD_WT_03_pre.hdr.rba.nii:Brain4:34</t>
  </si>
  <si>
    <t>PTSD_WT_03_pre.hdr.rba.nii:Brain5:24</t>
  </si>
  <si>
    <t>PTSD_WT_03_pre.hdr.rba.nii:Muscle1:28</t>
  </si>
  <si>
    <t>PTSD_WT_03_pre.hdr.rba.nii:Muscle2:28</t>
  </si>
  <si>
    <t>PTSD_WT_03_pre.hdr.rba.nii:Muscle3:39</t>
  </si>
  <si>
    <t>PTSD_WT_03_pre.hdr.rba.nii:Muscle4:39</t>
  </si>
  <si>
    <t>PTSD_WT_03_pre.hdr.rba.nii:Muscle5:50</t>
  </si>
  <si>
    <t>PTSD_WT_03_pre.hdr.rba.nii:Noise1:74</t>
  </si>
  <si>
    <t>PTSD_WT_03_pre.hdr.rba.nii:Noise2:72</t>
  </si>
  <si>
    <t>PTSD_WT_03_pre.hdr.rba.nii:Noise3:78</t>
  </si>
  <si>
    <t>PTSD_WT_03_pre.hdr.rba.nii:Noise4:76</t>
  </si>
  <si>
    <t>PTSD_WT_03_pre.hdr.rba.nii:Noise5:76</t>
  </si>
  <si>
    <t>PTSD_WT_04_pre.hdr.rba.nii:Brain1:64</t>
  </si>
  <si>
    <t>PTSD_WT_04_pre.hdr.rba.nii:Brain2:54</t>
  </si>
  <si>
    <t>PTSD_WT_04_pre.hdr.rba.nii:Brain3:44</t>
  </si>
  <si>
    <t>PTSD_WT_04_pre.hdr.rba.nii:Brain4:34</t>
  </si>
  <si>
    <t>PTSD_WT_04_pre.hdr.rba.nii:Brain5:24</t>
  </si>
  <si>
    <t>PTSD_WT_04_pre.hdr.rba.nii:Muscle1:28</t>
  </si>
  <si>
    <t>PTSD_WT_04_pre.hdr.rba.nii:Muscle2:28</t>
  </si>
  <si>
    <t>PTSD_WT_04_pre.hdr.rba.nii:Muscle3:39</t>
  </si>
  <si>
    <t>PTSD_WT_04_pre.hdr.rba.nii:Muscle4:39</t>
  </si>
  <si>
    <t>PTSD_WT_04_pre.hdr.rba.nii:Muscle5:50</t>
  </si>
  <si>
    <t>PTSD_WT_04_pre.hdr.rba.nii:Noise1:74</t>
  </si>
  <si>
    <t>PTSD_WT_04_pre.hdr.rba.nii:Noise2:72</t>
  </si>
  <si>
    <t>PTSD_WT_04_pre.hdr.rba.nii:Noise3:78</t>
  </si>
  <si>
    <t>PTSD_WT_04_pre.hdr.rba.nii:Noise4:76</t>
  </si>
  <si>
    <t>PTSD_WT_04_pre.hdr.rba.nii:Noise5:76</t>
  </si>
  <si>
    <t>PTSD_WT_05_pre.hdr.rba.nii:Brain1:64</t>
  </si>
  <si>
    <t>PTSD_WT_05_pre.hdr.rba.nii:Brain2:54</t>
  </si>
  <si>
    <t>PTSD_WT_05_pre.hdr.rba.nii:Brain3:44</t>
  </si>
  <si>
    <t>PTSD_WT_05_pre.hdr.rba.nii:Brain4:34</t>
  </si>
  <si>
    <t>PTSD_WT_05_pre.hdr.rba.nii:Brain5:24</t>
  </si>
  <si>
    <t>PTSD_WT_05_pre.hdr.rba.nii:Muscle1:28</t>
  </si>
  <si>
    <t>PTSD_WT_05_pre.hdr.rba.nii:Muscle2:28</t>
  </si>
  <si>
    <t>PTSD_WT_05_pre.hdr.rba.nii:Muscle3:39</t>
  </si>
  <si>
    <t>PTSD_WT_05_pre.hdr.rba.nii:Muscle4:39</t>
  </si>
  <si>
    <t>PTSD_WT_05_pre.hdr.rba.nii:Muscle5:50</t>
  </si>
  <si>
    <t>PTSD_WT_05_pre.hdr.rba.nii:Noise1:74</t>
  </si>
  <si>
    <t>PTSD_WT_05_pre.hdr.rba.nii:Noise2:72</t>
  </si>
  <si>
    <t>PTSD_WT_05_pre.hdr.rba.nii:Noise3:78</t>
  </si>
  <si>
    <t>PTSD_WT_05_pre.hdr.rba.nii:Noise4:76</t>
  </si>
  <si>
    <t>PTSD_WT_05_pre.hdr.rba.nii:Noise5:76</t>
  </si>
  <si>
    <t>PTSD_WT_06_pre.hdr.rba.nii:Brain1:64</t>
  </si>
  <si>
    <t>PTSD_WT_06_pre.hdr.rba.nii:Brain2:54</t>
  </si>
  <si>
    <t>PTSD_WT_06_pre.hdr.rba.nii:Brain3:44</t>
  </si>
  <si>
    <t>PTSD_WT_06_pre.hdr.rba.nii:Brain4:34</t>
  </si>
  <si>
    <t>PTSD_WT_06_pre.hdr.rba.nii:Brain5:24</t>
  </si>
  <si>
    <t>PTSD_WT_06_pre.hdr.rba.nii:Muscle1:28</t>
  </si>
  <si>
    <t>PTSD_WT_06_pre.hdr.rba.nii:Muscle2:28</t>
  </si>
  <si>
    <t>PTSD_WT_06_pre.hdr.rba.nii:Muscle3:39</t>
  </si>
  <si>
    <t>PTSD_WT_06_pre.hdr.rba.nii:Muscle4:39</t>
  </si>
  <si>
    <t>PTSD_WT_06_pre.hdr.rba.nii:Muscle5:50</t>
  </si>
  <si>
    <t>PTSD_WT_06_pre.hdr.rba.nii:Noise1:74</t>
  </si>
  <si>
    <t>PTSD_WT_06_pre.hdr.rba.nii:Noise2:72</t>
  </si>
  <si>
    <t>PTSD_WT_06_pre.hdr.rba.nii:Noise3:78</t>
  </si>
  <si>
    <t>PTSD_WT_06_pre.hdr.rba.nii:Noise4:76</t>
  </si>
  <si>
    <t>PTSD_WT_06_pre.hdr.rba.nii:Noise5:76</t>
  </si>
  <si>
    <t>PTSD_WT_07_pre.hdr.rba.nii:Brain1:64</t>
  </si>
  <si>
    <t>PTSD_WT_07_pre.hdr.rba.nii:Brain2:54</t>
  </si>
  <si>
    <t>PTSD_WT_07_pre.hdr.rba.nii:Brain3:44</t>
  </si>
  <si>
    <t>PTSD_WT_07_pre.hdr.rba.nii:Brain4:34</t>
  </si>
  <si>
    <t>PTSD_WT_07_pre.hdr.rba.nii:Brain5:24</t>
  </si>
  <si>
    <t>PTSD_WT_07_pre.hdr.rba.nii:Muscle1:28</t>
  </si>
  <si>
    <t>PTSD_WT_07_pre.hdr.rba.nii:Muscle2:28</t>
  </si>
  <si>
    <t>PTSD_WT_07_pre.hdr.rba.nii:Muscle3:39</t>
  </si>
  <si>
    <t>PTSD_WT_07_pre.hdr.rba.nii:Muscle4:39</t>
  </si>
  <si>
    <t>PTSD_WT_07_pre.hdr.rba.nii:Muscle5:50</t>
  </si>
  <si>
    <t>PTSD_WT_07_pre.hdr.rba.nii:Noise1:74</t>
  </si>
  <si>
    <t>PTSD_WT_07_pre.hdr.rba.nii:Noise2:72</t>
  </si>
  <si>
    <t>PTSD_WT_07_pre.hdr.rba.nii:Noise3:78</t>
  </si>
  <si>
    <t>PTSD_WT_07_pre.hdr.rba.nii:Noise4:76</t>
  </si>
  <si>
    <t>PTSD_WT_07_pre.hdr.rba.nii:Noise5:76</t>
  </si>
  <si>
    <t>PTSD_WT_08_pre.hdr.rba.nii:Brain1:64</t>
  </si>
  <si>
    <t>PTSD_WT_08_pre.hdr.rba.nii:Brain2:54</t>
  </si>
  <si>
    <t>PTSD_WT_08_pre.hdr.rba.nii:Brain3:44</t>
  </si>
  <si>
    <t>PTSD_WT_08_pre.hdr.rba.nii:Brain4:34</t>
  </si>
  <si>
    <t>PTSD_WT_08_pre.hdr.rba.nii:Brain5:24</t>
  </si>
  <si>
    <t>PTSD_WT_08_pre.hdr.rba.nii:Muscle1:28</t>
  </si>
  <si>
    <t>PTSD_WT_08_pre.hdr.rba.nii:Muscle2:28</t>
  </si>
  <si>
    <t>PTSD_WT_08_pre.hdr.rba.nii:Muscle3:39</t>
  </si>
  <si>
    <t>PTSD_WT_08_pre.hdr.rba.nii:Muscle4:39</t>
  </si>
  <si>
    <t>PTSD_WT_08_pre.hdr.rba.nii:Muscle5:50</t>
  </si>
  <si>
    <t>PTSD_WT_08_pre.hdr.rba.nii:Noise1:74</t>
  </si>
  <si>
    <t>PTSD_WT_08_pre.hdr.rba.nii:Noise2:72</t>
  </si>
  <si>
    <t>PTSD_WT_08_pre.hdr.rba.nii:Noise3:78</t>
  </si>
  <si>
    <t>PTSD_WT_08_pre.hdr.rba.nii:Noise4:76</t>
  </si>
  <si>
    <t>PTSD_WT_08_pre.hdr.rba.nii:Noise5:76</t>
  </si>
  <si>
    <t>PTSD_WT_09_pre.hdr.rba.nii:Brain1:64</t>
  </si>
  <si>
    <t>PTSD_WT_09_pre.hdr.rba.nii:Brain2:54</t>
  </si>
  <si>
    <t>PTSD_WT_09_pre.hdr.rba.nii:Brain3:44</t>
  </si>
  <si>
    <t>PTSD_WT_09_pre.hdr.rba.nii:Brain4:34</t>
  </si>
  <si>
    <t>PTSD_WT_09_pre.hdr.rba.nii:Brain5:24</t>
  </si>
  <si>
    <t>PTSD_WT_09_pre.hdr.rba.nii:Muscle1:28</t>
  </si>
  <si>
    <t>PTSD_WT_09_pre.hdr.rba.nii:Muscle2:28</t>
  </si>
  <si>
    <t>PTSD_WT_09_pre.hdr.rba.nii:Muscle3:39</t>
  </si>
  <si>
    <t>PTSD_WT_09_pre.hdr.rba.nii:Muscle4:39</t>
  </si>
  <si>
    <t>PTSD_WT_09_pre.hdr.rba.nii:Muscle5:50</t>
  </si>
  <si>
    <t>PTSD_WT_09_pre.hdr.rba.nii:Noise1:74</t>
  </si>
  <si>
    <t>PTSD_WT_09_pre.hdr.rba.nii:Noise2:72</t>
  </si>
  <si>
    <t>PTSD_WT_09_pre.hdr.rba.nii:Noise3:78</t>
  </si>
  <si>
    <t>PTSD_WT_09_pre.hdr.rba.nii:Noise4:76</t>
  </si>
  <si>
    <t>PTSD_WT_09_pre.hdr.rba.nii:Noise5:76</t>
  </si>
  <si>
    <t>PTSD_WT_10_pre.hdr.rba.nii:Brain1:64</t>
  </si>
  <si>
    <t>PTSD_WT_10_pre.hdr.rba.nii:Brain2:54</t>
  </si>
  <si>
    <t>PTSD_WT_10_pre.hdr.rba.nii:Brain3:44</t>
  </si>
  <si>
    <t>PTSD_WT_10_pre.hdr.rba.nii:Brain4:34</t>
  </si>
  <si>
    <t>PTSD_WT_10_pre.hdr.rba.nii:Brain5:24</t>
  </si>
  <si>
    <t>PTSD_WT_10_pre.hdr.rba.nii:Muscle1:28</t>
  </si>
  <si>
    <t>PTSD_WT_10_pre.hdr.rba.nii:Muscle2:28</t>
  </si>
  <si>
    <t>PTSD_WT_10_pre.hdr.rba.nii:Muscle3:39</t>
  </si>
  <si>
    <t>PTSD_WT_10_pre.hdr.rba.nii:Muscle4:39</t>
  </si>
  <si>
    <t>PTSD_WT_10_pre.hdr.rba.nii:Muscle5:50</t>
  </si>
  <si>
    <t>PTSD_WT_10_pre.hdr.rba.nii:Noise1:74</t>
  </si>
  <si>
    <t>PTSD_WT_10_pre.hdr.rba.nii:Noise2:72</t>
  </si>
  <si>
    <t>PTSD_WT_10_pre.hdr.rba.nii:Noise3:78</t>
  </si>
  <si>
    <t>PTSD_WT_10_pre.hdr.rba.nii:Noise4:76</t>
  </si>
  <si>
    <t>PTSD_WT_10_pre.hdr.rba.nii:Noise5:76</t>
  </si>
  <si>
    <t>PTSD_WT_11_pre.hdr.rba.nii:Brain1:64</t>
  </si>
  <si>
    <t>PTSD_WT_11_pre.hdr.rba.nii:Brain2:54</t>
  </si>
  <si>
    <t>PTSD_WT_11_pre.hdr.rba.nii:Brain3:44</t>
  </si>
  <si>
    <t>PTSD_WT_11_pre.hdr.rba.nii:Brain4:34</t>
  </si>
  <si>
    <t>PTSD_WT_11_pre.hdr.rba.nii:Brain5:24</t>
  </si>
  <si>
    <t>PTSD_WT_11_pre.hdr.rba.nii:Muscle1:28</t>
  </si>
  <si>
    <t>PTSD_WT_11_pre.hdr.rba.nii:Muscle2:28</t>
  </si>
  <si>
    <t>PTSD_WT_11_pre.hdr.rba.nii:Muscle3:39</t>
  </si>
  <si>
    <t>PTSD_WT_11_pre.hdr.rba.nii:Muscle4:39</t>
  </si>
  <si>
    <t>PTSD_WT_11_pre.hdr.rba.nii:Muscle5:50</t>
  </si>
  <si>
    <t>PTSD_WT_11_pre.hdr.rba.nii:Noise1:74</t>
  </si>
  <si>
    <t>PTSD_WT_11_pre.hdr.rba.nii:Noise2:72</t>
  </si>
  <si>
    <t>PTSD_WT_11_pre.hdr.rba.nii:Noise3:78</t>
  </si>
  <si>
    <t>PTSD_WT_11_pre.hdr.rba.nii:Noise4:76</t>
  </si>
  <si>
    <t>PTSD_WT_11_pre.hdr.rba.nii:Noise5:76</t>
  </si>
  <si>
    <t>PTSD_WT_12_pre.hdr.rba.nii:Brain1:64</t>
  </si>
  <si>
    <t>PTSD_WT_12_pre.hdr.rba.nii:Brain2:54</t>
  </si>
  <si>
    <t>PTSD_WT_12_pre.hdr.rba.nii:Brain3:44</t>
  </si>
  <si>
    <t>PTSD_WT_12_pre.hdr.rba.nii:Brain4:34</t>
  </si>
  <si>
    <t>PTSD_WT_12_pre.hdr.rba.nii:Brain5:24</t>
  </si>
  <si>
    <t>PTSD_WT_12_pre.hdr.rba.nii:Muscle1:28</t>
  </si>
  <si>
    <t>PTSD_WT_12_pre.hdr.rba.nii:Muscle2:28</t>
  </si>
  <si>
    <t>PTSD_WT_12_pre.hdr.rba.nii:Muscle3:39</t>
  </si>
  <si>
    <t>PTSD_WT_12_pre.hdr.rba.nii:Muscle4:39</t>
  </si>
  <si>
    <t>PTSD_WT_12_pre.hdr.rba.nii:Muscle5:50</t>
  </si>
  <si>
    <t>PTSD_WT_12_pre.hdr.rba.nii:Noise1:74</t>
  </si>
  <si>
    <t>PTSD_WT_12_pre.hdr.rba.nii:Noise2:72</t>
  </si>
  <si>
    <t>PTSD_WT_12_pre.hdr.rba.nii:Noise3:78</t>
  </si>
  <si>
    <t>PTSD_WT_12_pre.hdr.rba.nii:Noise4:76</t>
  </si>
  <si>
    <t>PTSD_WT_12_pre.hdr.rba.nii:Noise5:76</t>
  </si>
  <si>
    <t>Muscle3</t>
  </si>
  <si>
    <t>Muscle4</t>
  </si>
  <si>
    <t>Muscle5</t>
  </si>
  <si>
    <t>Noise5</t>
  </si>
  <si>
    <t>ID</t>
  </si>
  <si>
    <t>Condition</t>
  </si>
  <si>
    <t>Pre-Mn(II)</t>
  </si>
  <si>
    <t>PTSD_WT_01_PreF.hdr.rba.nii:Brain1:64</t>
  </si>
  <si>
    <t>PTSD_WT_01_PreF.hdr.rba.nii:Brain2:54</t>
  </si>
  <si>
    <t>PTSD_WT_01_PreF.hdr.rba.nii:Brain3:44</t>
  </si>
  <si>
    <t>PTSD_WT_01_PreF.hdr.rba.nii:Brain4:34</t>
  </si>
  <si>
    <t>PTSD_WT_01_PreF.hdr.rba.nii:Brain5:24</t>
  </si>
  <si>
    <t>PTSD_WT_01_PreF.hdr.rba.nii:Muscle1:28</t>
  </si>
  <si>
    <t>PTSD_WT_01_PreF.hdr.rba.nii:Muscle2:28</t>
  </si>
  <si>
    <t>PTSD_WT_01_PreF.hdr.rba.nii:Muscle3:39</t>
  </si>
  <si>
    <t>PTSD_WT_01_PreF.hdr.rba.nii:Muscle4:39</t>
  </si>
  <si>
    <t>PTSD_WT_01_PreF.hdr.rba.nii:Muscle5:50</t>
  </si>
  <si>
    <t>PTSD_WT_01_PreF.hdr.rba.nii:Noise1:74</t>
  </si>
  <si>
    <t>PTSD_WT_01_PreF.hdr.rba.nii:Noise2:72</t>
  </si>
  <si>
    <t>PTSD_WT_01_PreF.hdr.rba.nii:Noise3:78</t>
  </si>
  <si>
    <t>PTSD_WT_01_PreF.hdr.rba.nii:Noise4:76</t>
  </si>
  <si>
    <t>PTSD_WT_01_PreF.hdr.rba.nii:Noise5:76</t>
  </si>
  <si>
    <t>PTSD_WT_02_PreF.hdr.rba.nii:Brain1:64</t>
  </si>
  <si>
    <t>PTSD_WT_02_PreF.hdr.rba.nii:Brain2:54</t>
  </si>
  <si>
    <t>PTSD_WT_02_PreF.hdr.rba.nii:Brain3:44</t>
  </si>
  <si>
    <t>PTSD_WT_02_PreF.hdr.rba.nii:Brain4:34</t>
  </si>
  <si>
    <t>PTSD_WT_02_PreF.hdr.rba.nii:Brain5:24</t>
  </si>
  <si>
    <t>PTSD_WT_02_PreF.hdr.rba.nii:Muscle1:28</t>
  </si>
  <si>
    <t>PTSD_WT_02_PreF.hdr.rba.nii:Muscle2:28</t>
  </si>
  <si>
    <t>PTSD_WT_02_PreF.hdr.rba.nii:Muscle3:39</t>
  </si>
  <si>
    <t>PTSD_WT_02_PreF.hdr.rba.nii:Muscle4:39</t>
  </si>
  <si>
    <t>PTSD_WT_02_PreF.hdr.rba.nii:Muscle5:50</t>
  </si>
  <si>
    <t>PTSD_WT_02_PreF.hdr.rba.nii:Noise1:74</t>
  </si>
  <si>
    <t>PTSD_WT_02_PreF.hdr.rba.nii:Noise2:72</t>
  </si>
  <si>
    <t>PTSD_WT_02_PreF.hdr.rba.nii:Noise3:78</t>
  </si>
  <si>
    <t>PTSD_WT_02_PreF.hdr.rba.nii:Noise4:76</t>
  </si>
  <si>
    <t>PTSD_WT_02_PreF.hdr.rba.nii:Noise5:76</t>
  </si>
  <si>
    <t>PTSD_WT_03_PreF.hdr.rba.nii:Brain1:64</t>
  </si>
  <si>
    <t>PTSD_WT_03_PreF.hdr.rba.nii:Brain2:54</t>
  </si>
  <si>
    <t>PTSD_WT_03_PreF.hdr.rba.nii:Brain3:44</t>
  </si>
  <si>
    <t>PTSD_WT_03_PreF.hdr.rba.nii:Brain4:34</t>
  </si>
  <si>
    <t>PTSD_WT_03_PreF.hdr.rba.nii:Brain5:24</t>
  </si>
  <si>
    <t>PTSD_WT_03_PreF.hdr.rba.nii:Muscle1:28</t>
  </si>
  <si>
    <t>PTSD_WT_03_PreF.hdr.rba.nii:Muscle2:28</t>
  </si>
  <si>
    <t>PTSD_WT_03_PreF.hdr.rba.nii:Muscle3:39</t>
  </si>
  <si>
    <t>PTSD_WT_03_PreF.hdr.rba.nii:Muscle4:39</t>
  </si>
  <si>
    <t>PTSD_WT_03_PreF.hdr.rba.nii:Muscle5:50</t>
  </si>
  <si>
    <t>PTSD_WT_03_PreF.hdr.rba.nii:Noise1:74</t>
  </si>
  <si>
    <t>PTSD_WT_03_PreF.hdr.rba.nii:Noise2:72</t>
  </si>
  <si>
    <t>PTSD_WT_03_PreF.hdr.rba.nii:Noise3:78</t>
  </si>
  <si>
    <t>PTSD_WT_03_PreF.hdr.rba.nii:Noise4:76</t>
  </si>
  <si>
    <t>PTSD_WT_03_PreF.hdr.rba.nii:Noise5:76</t>
  </si>
  <si>
    <t>PTSD_WT_04_PreF.hdr.rba.nii:Brain1:64</t>
  </si>
  <si>
    <t>PTSD_WT_04_PreF.hdr.rba.nii:Brain2:54</t>
  </si>
  <si>
    <t>PTSD_WT_04_PreF.hdr.rba.nii:Brain3:44</t>
  </si>
  <si>
    <t>PTSD_WT_04_PreF.hdr.rba.nii:Brain4:34</t>
  </si>
  <si>
    <t>PTSD_WT_04_PreF.hdr.rba.nii:Brain5:24</t>
  </si>
  <si>
    <t>PTSD_WT_04_PreF.hdr.rba.nii:Muscle1:28</t>
  </si>
  <si>
    <t>PTSD_WT_04_PreF.hdr.rba.nii:Muscle2:28</t>
  </si>
  <si>
    <t>PTSD_WT_04_PreF.hdr.rba.nii:Muscle3:39</t>
  </si>
  <si>
    <t>PTSD_WT_04_PreF.hdr.rba.nii:Muscle4:39</t>
  </si>
  <si>
    <t>PTSD_WT_04_PreF.hdr.rba.nii:Muscle5:50</t>
  </si>
  <si>
    <t>PTSD_WT_04_PreF.hdr.rba.nii:Noise1:74</t>
  </si>
  <si>
    <t>PTSD_WT_04_PreF.hdr.rba.nii:Noise2:72</t>
  </si>
  <si>
    <t>PTSD_WT_04_PreF.hdr.rba.nii:Noise3:78</t>
  </si>
  <si>
    <t>PTSD_WT_04_PreF.hdr.rba.nii:Noise4:76</t>
  </si>
  <si>
    <t>PTSD_WT_04_PreF.hdr.rba.nii:Noise5:76</t>
  </si>
  <si>
    <t>PTSD_WT_05_PreF.hdr.rba.nii:Brain1:64</t>
  </si>
  <si>
    <t>PTSD_WT_05_PreF.hdr.rba.nii:Brain2:54</t>
  </si>
  <si>
    <t>PTSD_WT_05_PreF.hdr.rba.nii:Brain3:44</t>
  </si>
  <si>
    <t>PTSD_WT_05_PreF.hdr.rba.nii:Brain4:34</t>
  </si>
  <si>
    <t>PTSD_WT_05_PreF.hdr.rba.nii:Brain5:24</t>
  </si>
  <si>
    <t>PTSD_WT_05_PreF.hdr.rba.nii:Muscle1:28</t>
  </si>
  <si>
    <t>PTSD_WT_05_PreF.hdr.rba.nii:Muscle2:28</t>
  </si>
  <si>
    <t>PTSD_WT_05_PreF.hdr.rba.nii:Muscle3:39</t>
  </si>
  <si>
    <t>PTSD_WT_05_PreF.hdr.rba.nii:Muscle4:39</t>
  </si>
  <si>
    <t>PTSD_WT_05_PreF.hdr.rba.nii:Muscle5:50</t>
  </si>
  <si>
    <t>PTSD_WT_05_PreF.hdr.rba.nii:Noise1:74</t>
  </si>
  <si>
    <t>PTSD_WT_05_PreF.hdr.rba.nii:Noise2:72</t>
  </si>
  <si>
    <t>PTSD_WT_05_PreF.hdr.rba.nii:Noise3:78</t>
  </si>
  <si>
    <t>PTSD_WT_05_PreF.hdr.rba.nii:Noise4:76</t>
  </si>
  <si>
    <t>PTSD_WT_05_PreF.hdr.rba.nii:Noise5:76</t>
  </si>
  <si>
    <t>PTSD_WT_06_PreF.hdr.rba.nii:Brain1:64</t>
  </si>
  <si>
    <t>PTSD_WT_06_PreF.hdr.rba.nii:Brain2:54</t>
  </si>
  <si>
    <t>PTSD_WT_06_PreF.hdr.rba.nii:Brain3:44</t>
  </si>
  <si>
    <t>PTSD_WT_06_PreF.hdr.rba.nii:Brain4:34</t>
  </si>
  <si>
    <t>PTSD_WT_06_PreF.hdr.rba.nii:Brain5:24</t>
  </si>
  <si>
    <t>PTSD_WT_06_PreF.hdr.rba.nii:Muscle1:28</t>
  </si>
  <si>
    <t>PTSD_WT_06_PreF.hdr.rba.nii:Muscle2:28</t>
  </si>
  <si>
    <t>PTSD_WT_06_PreF.hdr.rba.nii:Muscle3:39</t>
  </si>
  <si>
    <t>PTSD_WT_06_PreF.hdr.rba.nii:Muscle4:39</t>
  </si>
  <si>
    <t>PTSD_WT_06_PreF.hdr.rba.nii:Muscle5:50</t>
  </si>
  <si>
    <t>PTSD_WT_06_PreF.hdr.rba.nii:Noise1:74</t>
  </si>
  <si>
    <t>PTSD_WT_06_PreF.hdr.rba.nii:Noise2:72</t>
  </si>
  <si>
    <t>PTSD_WT_06_PreF.hdr.rba.nii:Noise3:78</t>
  </si>
  <si>
    <t>PTSD_WT_06_PreF.hdr.rba.nii:Noise4:76</t>
  </si>
  <si>
    <t>PTSD_WT_06_PreF.hdr.rba.nii:Noise5:76</t>
  </si>
  <si>
    <t>PTSD_WT_07_PreF.hdr.rba.nii:Brain1:64</t>
  </si>
  <si>
    <t>PTSD_WT_07_PreF.hdr.rba.nii:Brain2:54</t>
  </si>
  <si>
    <t>PTSD_WT_07_PreF.hdr.rba.nii:Brain3:44</t>
  </si>
  <si>
    <t>PTSD_WT_07_PreF.hdr.rba.nii:Brain4:34</t>
  </si>
  <si>
    <t>PTSD_WT_07_PreF.hdr.rba.nii:Brain5:24</t>
  </si>
  <si>
    <t>PTSD_WT_07_PreF.hdr.rba.nii:Muscle1:28</t>
  </si>
  <si>
    <t>PTSD_WT_07_PreF.hdr.rba.nii:Muscle2:28</t>
  </si>
  <si>
    <t>PTSD_WT_07_PreF.hdr.rba.nii:Muscle3:39</t>
  </si>
  <si>
    <t>PTSD_WT_07_PreF.hdr.rba.nii:Muscle4:39</t>
  </si>
  <si>
    <t>PTSD_WT_07_PreF.hdr.rba.nii:Muscle5:50</t>
  </si>
  <si>
    <t>PTSD_WT_07_PreF.hdr.rba.nii:Noise1:74</t>
  </si>
  <si>
    <t>PTSD_WT_07_PreF.hdr.rba.nii:Noise2:72</t>
  </si>
  <si>
    <t>PTSD_WT_07_PreF.hdr.rba.nii:Noise3:78</t>
  </si>
  <si>
    <t>PTSD_WT_07_PreF.hdr.rba.nii:Noise4:76</t>
  </si>
  <si>
    <t>PTSD_WT_07_PreF.hdr.rba.nii:Noise5:76</t>
  </si>
  <si>
    <t>PTSD_WT_08_PreF.hdr.rba.nii:Brain1:64</t>
  </si>
  <si>
    <t>PTSD_WT_08_PreF.hdr.rba.nii:Brain2:54</t>
  </si>
  <si>
    <t>PTSD_WT_08_PreF.hdr.rba.nii:Brain3:44</t>
  </si>
  <si>
    <t>PTSD_WT_08_PreF.hdr.rba.nii:Brain4:34</t>
  </si>
  <si>
    <t>PTSD_WT_08_PreF.hdr.rba.nii:Brain5:24</t>
  </si>
  <si>
    <t>PTSD_WT_08_PreF.hdr.rba.nii:Muscle1:28</t>
  </si>
  <si>
    <t>PTSD_WT_08_PreF.hdr.rba.nii:Muscle2:28</t>
  </si>
  <si>
    <t>PTSD_WT_08_PreF.hdr.rba.nii:Muscle3:39</t>
  </si>
  <si>
    <t>PTSD_WT_08_PreF.hdr.rba.nii:Muscle4:39</t>
  </si>
  <si>
    <t>PTSD_WT_08_PreF.hdr.rba.nii:Muscle5:50</t>
  </si>
  <si>
    <t>PTSD_WT_08_PreF.hdr.rba.nii:Noise1:74</t>
  </si>
  <si>
    <t>PTSD_WT_08_PreF.hdr.rba.nii:Noise2:72</t>
  </si>
  <si>
    <t>PTSD_WT_08_PreF.hdr.rba.nii:Noise3:78</t>
  </si>
  <si>
    <t>PTSD_WT_08_PreF.hdr.rba.nii:Noise4:76</t>
  </si>
  <si>
    <t>PTSD_WT_08_PreF.hdr.rba.nii:Noise5:76</t>
  </si>
  <si>
    <t>PTSD_WT_09_PreF.hdr.rba.nii:Brain1:64</t>
  </si>
  <si>
    <t>PTSD_WT_09_PreF.hdr.rba.nii:Brain2:54</t>
  </si>
  <si>
    <t>PTSD_WT_09_PreF.hdr.rba.nii:Brain3:44</t>
  </si>
  <si>
    <t>PTSD_WT_09_PreF.hdr.rba.nii:Brain4:34</t>
  </si>
  <si>
    <t>PTSD_WT_09_PreF.hdr.rba.nii:Brain5:24</t>
  </si>
  <si>
    <t>PTSD_WT_09_PreF.hdr.rba.nii:Muscle1:28</t>
  </si>
  <si>
    <t>PTSD_WT_09_PreF.hdr.rba.nii:Muscle2:28</t>
  </si>
  <si>
    <t>PTSD_WT_09_PreF.hdr.rba.nii:Muscle3:39</t>
  </si>
  <si>
    <t>PTSD_WT_09_PreF.hdr.rba.nii:Muscle4:39</t>
  </si>
  <si>
    <t>PTSD_WT_09_PreF.hdr.rba.nii:Muscle5:50</t>
  </si>
  <si>
    <t>PTSD_WT_09_PreF.hdr.rba.nii:Noise1:74</t>
  </si>
  <si>
    <t>PTSD_WT_09_PreF.hdr.rba.nii:Noise2:72</t>
  </si>
  <si>
    <t>PTSD_WT_09_PreF.hdr.rba.nii:Noise3:78</t>
  </si>
  <si>
    <t>PTSD_WT_09_PreF.hdr.rba.nii:Noise4:76</t>
  </si>
  <si>
    <t>PTSD_WT_09_PreF.hdr.rba.nii:Noise5:76</t>
  </si>
  <si>
    <t>PTSD_WT_10_PreF.hdr.rba.nii:Brain1:64</t>
  </si>
  <si>
    <t>PTSD_WT_10_PreF.hdr.rba.nii:Brain2:54</t>
  </si>
  <si>
    <t>PTSD_WT_10_PreF.hdr.rba.nii:Brain3:44</t>
  </si>
  <si>
    <t>PTSD_WT_10_PreF.hdr.rba.nii:Brain4:34</t>
  </si>
  <si>
    <t>PTSD_WT_10_PreF.hdr.rba.nii:Brain5:24</t>
  </si>
  <si>
    <t>PTSD_WT_10_PreF.hdr.rba.nii:Muscle1:28</t>
  </si>
  <si>
    <t>PTSD_WT_10_PreF.hdr.rba.nii:Muscle2:28</t>
  </si>
  <si>
    <t>PTSD_WT_10_PreF.hdr.rba.nii:Muscle3:39</t>
  </si>
  <si>
    <t>PTSD_WT_10_PreF.hdr.rba.nii:Muscle4:39</t>
  </si>
  <si>
    <t>PTSD_WT_10_PreF.hdr.rba.nii:Muscle5:50</t>
  </si>
  <si>
    <t>PTSD_WT_10_PreF.hdr.rba.nii:Noise1:74</t>
  </si>
  <si>
    <t>PTSD_WT_10_PreF.hdr.rba.nii:Noise2:72</t>
  </si>
  <si>
    <t>PTSD_WT_10_PreF.hdr.rba.nii:Noise3:78</t>
  </si>
  <si>
    <t>PTSD_WT_10_PreF.hdr.rba.nii:Noise4:76</t>
  </si>
  <si>
    <t>PTSD_WT_10_PreF.hdr.rba.nii:Noise5:76</t>
  </si>
  <si>
    <t>PTSD_WT_11_PreF.hdr.rba.nii:Brain1:64</t>
  </si>
  <si>
    <t>PTSD_WT_11_PreF.hdr.rba.nii:Brain2:54</t>
  </si>
  <si>
    <t>PTSD_WT_11_PreF.hdr.rba.nii:Brain3:44</t>
  </si>
  <si>
    <t>PTSD_WT_11_PreF.hdr.rba.nii:Brain4:34</t>
  </si>
  <si>
    <t>PTSD_WT_11_PreF.hdr.rba.nii:Brain5:24</t>
  </si>
  <si>
    <t>PTSD_WT_11_PreF.hdr.rba.nii:Muscle1:28</t>
  </si>
  <si>
    <t>PTSD_WT_11_PreF.hdr.rba.nii:Muscle2:28</t>
  </si>
  <si>
    <t>PTSD_WT_11_PreF.hdr.rba.nii:Muscle3:39</t>
  </si>
  <si>
    <t>PTSD_WT_11_PreF.hdr.rba.nii:Muscle4:39</t>
  </si>
  <si>
    <t>PTSD_WT_11_PreF.hdr.rba.nii:Muscle5:50</t>
  </si>
  <si>
    <t>PTSD_WT_11_PreF.hdr.rba.nii:Noise1:74</t>
  </si>
  <si>
    <t>PTSD_WT_11_PreF.hdr.rba.nii:Noise2:72</t>
  </si>
  <si>
    <t>PTSD_WT_11_PreF.hdr.rba.nii:Noise3:78</t>
  </si>
  <si>
    <t>PTSD_WT_11_PreF.hdr.rba.nii:Noise4:76</t>
  </si>
  <si>
    <t>PTSD_WT_11_PreF.hdr.rba.nii:Noise5:76</t>
  </si>
  <si>
    <t>PTSD_WT_12_PreF.hdr.rba.nii:Brain1:64</t>
  </si>
  <si>
    <t>PTSD_WT_12_PreF.hdr.rba.nii:Brain2:54</t>
  </si>
  <si>
    <t>PTSD_WT_12_PreF.hdr.rba.nii:Brain3:44</t>
  </si>
  <si>
    <t>PTSD_WT_12_PreF.hdr.rba.nii:Brain4:34</t>
  </si>
  <si>
    <t>PTSD_WT_12_PreF.hdr.rba.nii:Brain5:24</t>
  </si>
  <si>
    <t>PTSD_WT_12_PreF.hdr.rba.nii:Muscle1:28</t>
  </si>
  <si>
    <t>PTSD_WT_12_PreF.hdr.rba.nii:Muscle2:28</t>
  </si>
  <si>
    <t>PTSD_WT_12_PreF.hdr.rba.nii:Muscle3:39</t>
  </si>
  <si>
    <t>PTSD_WT_12_PreF.hdr.rba.nii:Muscle4:39</t>
  </si>
  <si>
    <t>PTSD_WT_12_PreF.hdr.rba.nii:Muscle5:50</t>
  </si>
  <si>
    <t>PTSD_WT_12_PreF.hdr.rba.nii:Noise1:74</t>
  </si>
  <si>
    <t>PTSD_WT_12_PreF.hdr.rba.nii:Noise2:72</t>
  </si>
  <si>
    <t>PTSD_WT_12_PreF.hdr.rba.nii:Noise3:78</t>
  </si>
  <si>
    <t>PTSD_WT_12_PreF.hdr.rba.nii:Noise4:76</t>
  </si>
  <si>
    <t>PTSD_WT_12_PreF.hdr.rba.nii:Noise5:76</t>
  </si>
  <si>
    <t>Post-Mn(II)</t>
  </si>
  <si>
    <t>Location</t>
  </si>
  <si>
    <t>PTSD_WT_01_pre.hdr.rba.nii:Brain:56</t>
  </si>
  <si>
    <t>PTSD_WT_01_pre.hdr.rba.nii:Muscle:44</t>
  </si>
  <si>
    <t>PTSD_WT_01_pre.hdr.rba.nii:Noise:78</t>
  </si>
  <si>
    <t>PTSD_WT_02_pre.hdr.rba.nii:Brain:56</t>
  </si>
  <si>
    <t>PTSD_WT_02_pre.hdr.rba.nii:Muscle:44</t>
  </si>
  <si>
    <t>PTSD_WT_02_pre.hdr.rba.nii:Noise:78</t>
  </si>
  <si>
    <t>PTSD_WT_03_pre.hdr.rba.nii:Brain:56</t>
  </si>
  <si>
    <t>PTSD_WT_03_pre.hdr.rba.nii:Muscle:44</t>
  </si>
  <si>
    <t>PTSD_WT_03_pre.hdr.rba.nii:Noise:78</t>
  </si>
  <si>
    <t>PTSD_WT_04_pre.hdr.rba.nii:Brain:56</t>
  </si>
  <si>
    <t>PTSD_WT_04_pre.hdr.rba.nii:Muscle:44</t>
  </si>
  <si>
    <t>PTSD_WT_04_pre.hdr.rba.nii:Noise:78</t>
  </si>
  <si>
    <t>PTSD_WT_05_pre.hdr.rba.nii:Brain:56</t>
  </si>
  <si>
    <t>PTSD_WT_05_pre.hdr.rba.nii:Muscle:44</t>
  </si>
  <si>
    <t>PTSD_WT_05_pre.hdr.rba.nii:Noise:78</t>
  </si>
  <si>
    <t>PTSD_WT_06_pre.hdr.rba.nii:Brain:56</t>
  </si>
  <si>
    <t>PTSD_WT_06_pre.hdr.rba.nii:Muscle:44</t>
  </si>
  <si>
    <t>PTSD_WT_06_pre.hdr.rba.nii:Noise:78</t>
  </si>
  <si>
    <t>PTSD_WT_07_pre.hdr.rba.nii:Brain:56</t>
  </si>
  <si>
    <t>PTSD_WT_07_pre.hdr.rba.nii:Muscle:44</t>
  </si>
  <si>
    <t>PTSD_WT_07_pre.hdr.rba.nii:Noise:78</t>
  </si>
  <si>
    <t>PTSD_WT_08_pre.hdr.rba.nii:Brain:56</t>
  </si>
  <si>
    <t>PTSD_WT_08_pre.hdr.rba.nii:Muscle:44</t>
  </si>
  <si>
    <t>PTSD_WT_08_pre.hdr.rba.nii:Noise:78</t>
  </si>
  <si>
    <t>PTSD_WT_09_pre.hdr.rba.nii:Brain:56</t>
  </si>
  <si>
    <t>PTSD_WT_09_pre.hdr.rba.nii:Muscle:44</t>
  </si>
  <si>
    <t>PTSD_WT_09_pre.hdr.rba.nii:Noise:78</t>
  </si>
  <si>
    <t>PTSD_WT_10_pre.hdr.rba.nii:Brain:56</t>
  </si>
  <si>
    <t>PTSD_WT_10_pre.hdr.rba.nii:Muscle:44</t>
  </si>
  <si>
    <t>PTSD_WT_10_pre.hdr.rba.nii:Noise:78</t>
  </si>
  <si>
    <t>PTSD_WT_11_pre.hdr.rba.nii:Brain:56</t>
  </si>
  <si>
    <t>PTSD_WT_11_pre.hdr.rba.nii:Muscle:44</t>
  </si>
  <si>
    <t>PTSD_WT_11_pre.hdr.rba.nii:Noise:78</t>
  </si>
  <si>
    <t>PTSD_WT_12_pre.hdr.rba.nii:Brain:56</t>
  </si>
  <si>
    <t>PTSD_WT_12_pre.hdr.rba.nii:Muscle:44</t>
  </si>
  <si>
    <t>PTSD_WT_12_pre.hdr.rba.nii:Noise:78</t>
  </si>
  <si>
    <t>PTSD_WT_01_PreF.hdr.rba.nii:Brain:56</t>
  </si>
  <si>
    <t>PTSD_WT_01_PreF.hdr.rba.nii:Muscle:44</t>
  </si>
  <si>
    <t>PTSD_WT_01_PreF.hdr.rba.nii:Noise:78</t>
  </si>
  <si>
    <t>PTSD_WT_02_PreF.hdr.rba.nii:Brain:56</t>
  </si>
  <si>
    <t>PTSD_WT_02_PreF.hdr.rba.nii:Muscle:44</t>
  </si>
  <si>
    <t>PTSD_WT_02_PreF.hdr.rba.nii:Noise:78</t>
  </si>
  <si>
    <t>PTSD_WT_03_PreF.hdr.rba.nii:Brain:56</t>
  </si>
  <si>
    <t>PTSD_WT_03_PreF.hdr.rba.nii:Muscle:44</t>
  </si>
  <si>
    <t>PTSD_WT_03_PreF.hdr.rba.nii:Noise:78</t>
  </si>
  <si>
    <t>PTSD_WT_04_PreF.hdr.rba.nii:Brain:56</t>
  </si>
  <si>
    <t>PTSD_WT_04_PreF.hdr.rba.nii:Muscle:44</t>
  </si>
  <si>
    <t>PTSD_WT_04_PreF.hdr.rba.nii:Noise:78</t>
  </si>
  <si>
    <t>PTSD_WT_05_PreF.hdr.rba.nii:Brain:56</t>
  </si>
  <si>
    <t>PTSD_WT_05_PreF.hdr.rba.nii:Muscle:44</t>
  </si>
  <si>
    <t>PTSD_WT_05_PreF.hdr.rba.nii:Noise:78</t>
  </si>
  <si>
    <t>PTSD_WT_06_PreF.hdr.rba.nii:Brain:56</t>
  </si>
  <si>
    <t>PTSD_WT_06_PreF.hdr.rba.nii:Muscle:44</t>
  </si>
  <si>
    <t>PTSD_WT_06_PreF.hdr.rba.nii:Noise:78</t>
  </si>
  <si>
    <t>PTSD_WT_07_PreF.hdr.rba.nii:Brain:56</t>
  </si>
  <si>
    <t>PTSD_WT_07_PreF.hdr.rba.nii:Muscle:44</t>
  </si>
  <si>
    <t>PTSD_WT_07_PreF.hdr.rba.nii:Noise:78</t>
  </si>
  <si>
    <t>PTSD_WT_08_PreF.hdr.rba.nii:Brain:56</t>
  </si>
  <si>
    <t>PTSD_WT_08_PreF.hdr.rba.nii:Muscle:44</t>
  </si>
  <si>
    <t>PTSD_WT_08_PreF.hdr.rba.nii:Noise:78</t>
  </si>
  <si>
    <t>PTSD_WT_09_PreF.hdr.rba.nii:Brain:56</t>
  </si>
  <si>
    <t>PTSD_WT_09_PreF.hdr.rba.nii:Muscle:44</t>
  </si>
  <si>
    <t>PTSD_WT_09_PreF.hdr.rba.nii:Noise:78</t>
  </si>
  <si>
    <t>PTSD_WT_10_PreF.hdr.rba.nii:Brain:56</t>
  </si>
  <si>
    <t>PTSD_WT_10_PreF.hdr.rba.nii:Muscle:44</t>
  </si>
  <si>
    <t>PTSD_WT_10_PreF.hdr.rba.nii:Noise:78</t>
  </si>
  <si>
    <t>PTSD_WT_11_PreF.hdr.rba.nii:Brain:56</t>
  </si>
  <si>
    <t>PTSD_WT_11_PreF.hdr.rba.nii:Muscle:44</t>
  </si>
  <si>
    <t>PTSD_WT_11_PreF.hdr.rba.nii:Noise:78</t>
  </si>
  <si>
    <t>PTSD_WT_12_PreF.hdr.rba.nii:Brain:56</t>
  </si>
  <si>
    <t>PTSD_WT_12_PreF.hdr.rba.nii:Muscle:44</t>
  </si>
  <si>
    <t>PTSD_WT_12_PreF.hdr.rba.nii:Noise:78</t>
  </si>
  <si>
    <t>Brain</t>
  </si>
  <si>
    <t>Muscle</t>
  </si>
  <si>
    <t>Noise</t>
  </si>
  <si>
    <t>Avg.SI</t>
  </si>
  <si>
    <t>SD.SI</t>
  </si>
  <si>
    <t>SNR</t>
  </si>
  <si>
    <t>CNR</t>
  </si>
  <si>
    <t>Pre</t>
  </si>
  <si>
    <t>Post</t>
  </si>
  <si>
    <t>MnII</t>
  </si>
  <si>
    <t>Noise Measurements (sd of air)</t>
  </si>
  <si>
    <t>"Mean noise" --&gt; sqrt(mean(sd^2))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</si>
</sst>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00E3D-0288-45A0-9FBC-37191D159E01}" name="Table1" displayName="Table1" ref="A1:G361" totalsRowShown="0" headerRowDxfId="2">
  <autoFilter ref="A1:G361" xr:uid="{7E100E3D-0288-45A0-9FBC-37191D159E01}"/>
  <tableColumns count="7">
    <tableColumn id="1" xr3:uid="{D94DE8A1-7A03-42DB-80ED-C3B2400E82FF}" name="Image"/>
    <tableColumn id="2" xr3:uid="{E79E8427-7567-4A4F-93C2-F1FAAECF03C5}" name="ID"/>
    <tableColumn id="3" xr3:uid="{A2EB7B0E-8FFE-45C8-9659-136DA037A38F}" name="Condition"/>
    <tableColumn id="4" xr3:uid="{87A4F5AF-D0B8-4648-949E-1998B51B886B}" name="ROI"/>
    <tableColumn id="7" xr3:uid="{7CE766D7-A9FB-441E-870D-0CCB708A8CBD}" name="Location" dataDxfId="1">
      <calculatedColumnFormula>IF(ISNUMBER(SEARCH("Brain",Table1[[#This Row],[ROI]],1)),"Brain",IF(ISNUMBER(SEARCH("Muscle",Table1[[#This Row],[ROI]],1)),"Muscle","Noise"))</calculatedColumnFormula>
    </tableColumn>
    <tableColumn id="5" xr3:uid="{C2C3B8DA-6A0D-4423-8FC3-E30E428F99FD}" name="Avg SI"/>
    <tableColumn id="6" xr3:uid="{B468EDDE-BBC3-41A7-A5C6-FA137AEFDD6C}" name="StDev S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BC623F-DA0B-4D15-8136-E1A2D845B482}" name="Table2" displayName="Table2" ref="A1:H73" totalsRowShown="0" headerRowDxfId="0">
  <autoFilter ref="A1:H73" xr:uid="{84BC623F-DA0B-4D15-8136-E1A2D845B482}"/>
  <sortState xmlns:xlrd2="http://schemas.microsoft.com/office/spreadsheetml/2017/richdata2" ref="A2:H73">
    <sortCondition descending="1" ref="C1:C73"/>
  </sortState>
  <tableColumns count="8">
    <tableColumn id="1" xr3:uid="{F00ECE4D-D1EB-456D-9E85-7CE3DC434CA7}" name="Image"/>
    <tableColumn id="2" xr3:uid="{CC0D6807-6A02-456A-9924-23071876084B}" name="ID"/>
    <tableColumn id="3" xr3:uid="{56E768F5-0CFC-473F-AD23-88B5ACE917EF}" name="ROI"/>
    <tableColumn id="8" xr3:uid="{2159757D-AC73-4D60-ABB1-FA9A709A6ED5}" name="MnII"/>
    <tableColumn id="4" xr3:uid="{AC8FAADF-34F1-4742-887F-6EF3CCAC2365}" name="Avg.SI"/>
    <tableColumn id="5" xr3:uid="{4C4C4E30-537C-49B6-916F-3C04B0BE131D}" name="SD.SI"/>
    <tableColumn id="6" xr3:uid="{5CF014BA-9285-4FB8-93B2-A20D1872EB33}" name="SNR"/>
    <tableColumn id="7" xr3:uid="{842B4105-99BA-42A5-8409-F28D3D592B03}" name="CN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"/>
  <sheetViews>
    <sheetView zoomScale="70" zoomScaleNormal="70" workbookViewId="0"/>
  </sheetViews>
  <sheetFormatPr defaultRowHeight="14.4" x14ac:dyDescent="0.3"/>
  <cols>
    <col min="1" max="1" width="35" bestFit="1" customWidth="1"/>
    <col min="2" max="2" width="4.77734375" customWidth="1"/>
    <col min="3" max="3" width="11.5546875" customWidth="1"/>
    <col min="4" max="4" width="6.6640625" customWidth="1"/>
    <col min="5" max="5" width="12" bestFit="1" customWidth="1"/>
    <col min="7" max="7" width="10" customWidth="1"/>
  </cols>
  <sheetData>
    <row r="1" spans="1:7" x14ac:dyDescent="0.3">
      <c r="A1" s="1" t="s">
        <v>0</v>
      </c>
      <c r="B1" s="1" t="s">
        <v>199</v>
      </c>
      <c r="C1" s="1" t="s">
        <v>200</v>
      </c>
      <c r="D1" s="1" t="s">
        <v>1</v>
      </c>
      <c r="E1" s="1" t="s">
        <v>383</v>
      </c>
      <c r="F1" s="1" t="s">
        <v>14</v>
      </c>
      <c r="G1" s="1" t="s">
        <v>13</v>
      </c>
    </row>
    <row r="2" spans="1:7" x14ac:dyDescent="0.3">
      <c r="A2" t="s">
        <v>15</v>
      </c>
      <c r="B2">
        <v>1</v>
      </c>
      <c r="C2" t="s">
        <v>201</v>
      </c>
      <c r="D2" t="s">
        <v>2</v>
      </c>
      <c r="E2" t="str">
        <f>IF(ISNUMBER(SEARCH("Brain",Table1[[#This Row],[ROI]],1)),"Brain",IF(ISNUMBER(SEARCH("Muscle",Table1[[#This Row],[ROI]],1)),"Muscle","Noise"))</f>
        <v>Brain</v>
      </c>
      <c r="F2">
        <v>7018.7078000000001</v>
      </c>
      <c r="G2">
        <v>1136.3490999999999</v>
      </c>
    </row>
    <row r="3" spans="1:7" x14ac:dyDescent="0.3">
      <c r="A3" t="s">
        <v>16</v>
      </c>
      <c r="B3">
        <v>1</v>
      </c>
      <c r="C3" t="s">
        <v>201</v>
      </c>
      <c r="D3" t="s">
        <v>3</v>
      </c>
      <c r="E3" t="str">
        <f>IF(ISNUMBER(SEARCH("Brain",Table1[[#This Row],[ROI]],1)),"Brain",IF(ISNUMBER(SEARCH("Muscle",Table1[[#This Row],[ROI]],1)),"Muscle","Noise"))</f>
        <v>Brain</v>
      </c>
      <c r="F3">
        <v>7507.55</v>
      </c>
      <c r="G3">
        <v>771.18299999999999</v>
      </c>
    </row>
    <row r="4" spans="1:7" x14ac:dyDescent="0.3">
      <c r="A4" t="s">
        <v>17</v>
      </c>
      <c r="B4">
        <v>1</v>
      </c>
      <c r="C4" t="s">
        <v>201</v>
      </c>
      <c r="D4" t="s">
        <v>4</v>
      </c>
      <c r="E4" t="str">
        <f>IF(ISNUMBER(SEARCH("Brain",Table1[[#This Row],[ROI]],1)),"Brain",IF(ISNUMBER(SEARCH("Muscle",Table1[[#This Row],[ROI]],1)),"Muscle","Noise"))</f>
        <v>Brain</v>
      </c>
      <c r="F4">
        <v>7449.2066999999997</v>
      </c>
      <c r="G4">
        <v>815.06420000000003</v>
      </c>
    </row>
    <row r="5" spans="1:7" x14ac:dyDescent="0.3">
      <c r="A5" t="s">
        <v>18</v>
      </c>
      <c r="B5">
        <v>1</v>
      </c>
      <c r="C5" t="s">
        <v>201</v>
      </c>
      <c r="D5" t="s">
        <v>5</v>
      </c>
      <c r="E5" t="str">
        <f>IF(ISNUMBER(SEARCH("Brain",Table1[[#This Row],[ROI]],1)),"Brain",IF(ISNUMBER(SEARCH("Muscle",Table1[[#This Row],[ROI]],1)),"Muscle","Noise"))</f>
        <v>Brain</v>
      </c>
      <c r="F5">
        <v>7308.0420999999997</v>
      </c>
      <c r="G5">
        <v>641.41070000000002</v>
      </c>
    </row>
    <row r="6" spans="1:7" x14ac:dyDescent="0.3">
      <c r="A6" t="s">
        <v>19</v>
      </c>
      <c r="B6">
        <v>1</v>
      </c>
      <c r="C6" t="s">
        <v>201</v>
      </c>
      <c r="D6" t="s">
        <v>6</v>
      </c>
      <c r="E6" t="str">
        <f>IF(ISNUMBER(SEARCH("Brain",Table1[[#This Row],[ROI]],1)),"Brain",IF(ISNUMBER(SEARCH("Muscle",Table1[[#This Row],[ROI]],1)),"Muscle","Noise"))</f>
        <v>Brain</v>
      </c>
      <c r="F6">
        <v>7551.5645000000004</v>
      </c>
      <c r="G6">
        <v>1823.9264000000001</v>
      </c>
    </row>
    <row r="7" spans="1:7" x14ac:dyDescent="0.3">
      <c r="A7" t="s">
        <v>20</v>
      </c>
      <c r="B7">
        <v>1</v>
      </c>
      <c r="C7" t="s">
        <v>201</v>
      </c>
      <c r="D7" t="s">
        <v>7</v>
      </c>
      <c r="E7" t="str">
        <f>IF(ISNUMBER(SEARCH("Brain",Table1[[#This Row],[ROI]],1)),"Brain",IF(ISNUMBER(SEARCH("Muscle",Table1[[#This Row],[ROI]],1)),"Muscle","Noise"))</f>
        <v>Muscle</v>
      </c>
      <c r="F7">
        <v>4979.7575999999999</v>
      </c>
      <c r="G7">
        <v>679.50369999999998</v>
      </c>
    </row>
    <row r="8" spans="1:7" x14ac:dyDescent="0.3">
      <c r="A8" t="s">
        <v>21</v>
      </c>
      <c r="B8">
        <v>1</v>
      </c>
      <c r="C8" t="s">
        <v>201</v>
      </c>
      <c r="D8" t="s">
        <v>8</v>
      </c>
      <c r="E8" t="str">
        <f>IF(ISNUMBER(SEARCH("Brain",Table1[[#This Row],[ROI]],1)),"Brain",IF(ISNUMBER(SEARCH("Muscle",Table1[[#This Row],[ROI]],1)),"Muscle","Noise"))</f>
        <v>Muscle</v>
      </c>
      <c r="F8">
        <v>4560.6606000000002</v>
      </c>
      <c r="G8">
        <v>1256.1863000000001</v>
      </c>
    </row>
    <row r="9" spans="1:7" x14ac:dyDescent="0.3">
      <c r="A9" t="s">
        <v>22</v>
      </c>
      <c r="B9">
        <v>1</v>
      </c>
      <c r="C9" t="s">
        <v>201</v>
      </c>
      <c r="D9" t="s">
        <v>195</v>
      </c>
      <c r="E9" t="str">
        <f>IF(ISNUMBER(SEARCH("Brain",Table1[[#This Row],[ROI]],1)),"Brain",IF(ISNUMBER(SEARCH("Muscle",Table1[[#This Row],[ROI]],1)),"Muscle","Noise"))</f>
        <v>Muscle</v>
      </c>
      <c r="F9">
        <v>4737.7291999999998</v>
      </c>
      <c r="G9">
        <v>637.78620000000001</v>
      </c>
    </row>
    <row r="10" spans="1:7" x14ac:dyDescent="0.3">
      <c r="A10" t="s">
        <v>23</v>
      </c>
      <c r="B10">
        <v>1</v>
      </c>
      <c r="C10" t="s">
        <v>201</v>
      </c>
      <c r="D10" t="s">
        <v>196</v>
      </c>
      <c r="E10" t="str">
        <f>IF(ISNUMBER(SEARCH("Brain",Table1[[#This Row],[ROI]],1)),"Brain",IF(ISNUMBER(SEARCH("Muscle",Table1[[#This Row],[ROI]],1)),"Muscle","Noise"))</f>
        <v>Muscle</v>
      </c>
      <c r="F10">
        <v>4811.9231</v>
      </c>
      <c r="G10">
        <v>473.52859999999998</v>
      </c>
    </row>
    <row r="11" spans="1:7" x14ac:dyDescent="0.3">
      <c r="A11" t="s">
        <v>24</v>
      </c>
      <c r="B11">
        <v>1</v>
      </c>
      <c r="C11" t="s">
        <v>201</v>
      </c>
      <c r="D11" t="s">
        <v>197</v>
      </c>
      <c r="E11" t="str">
        <f>IF(ISNUMBER(SEARCH("Brain",Table1[[#This Row],[ROI]],1)),"Brain",IF(ISNUMBER(SEARCH("Muscle",Table1[[#This Row],[ROI]],1)),"Muscle","Noise"))</f>
        <v>Muscle</v>
      </c>
      <c r="F11">
        <v>4817.6814999999997</v>
      </c>
      <c r="G11">
        <v>781.32259999999997</v>
      </c>
    </row>
    <row r="12" spans="1:7" x14ac:dyDescent="0.3">
      <c r="A12" t="s">
        <v>25</v>
      </c>
      <c r="B12">
        <v>1</v>
      </c>
      <c r="C12" t="s">
        <v>201</v>
      </c>
      <c r="D12" t="s">
        <v>9</v>
      </c>
      <c r="E12" t="str">
        <f>IF(ISNUMBER(SEARCH("Brain",Table1[[#This Row],[ROI]],1)),"Brain",IF(ISNUMBER(SEARCH("Muscle",Table1[[#This Row],[ROI]],1)),"Muscle","Noise"))</f>
        <v>Noise</v>
      </c>
      <c r="F12">
        <v>956.35239999999999</v>
      </c>
      <c r="G12">
        <v>261.28089999999997</v>
      </c>
    </row>
    <row r="13" spans="1:7" x14ac:dyDescent="0.3">
      <c r="A13" t="s">
        <v>26</v>
      </c>
      <c r="B13">
        <v>1</v>
      </c>
      <c r="C13" t="s">
        <v>201</v>
      </c>
      <c r="D13" t="s">
        <v>10</v>
      </c>
      <c r="E13" t="str">
        <f>IF(ISNUMBER(SEARCH("Brain",Table1[[#This Row],[ROI]],1)),"Brain",IF(ISNUMBER(SEARCH("Muscle",Table1[[#This Row],[ROI]],1)),"Muscle","Noise"))</f>
        <v>Noise</v>
      </c>
      <c r="F13">
        <v>964.04759999999999</v>
      </c>
      <c r="G13">
        <v>347.23340000000002</v>
      </c>
    </row>
    <row r="14" spans="1:7" x14ac:dyDescent="0.3">
      <c r="A14" t="s">
        <v>27</v>
      </c>
      <c r="B14">
        <v>1</v>
      </c>
      <c r="C14" t="s">
        <v>201</v>
      </c>
      <c r="D14" t="s">
        <v>11</v>
      </c>
      <c r="E14" t="str">
        <f>IF(ISNUMBER(SEARCH("Brain",Table1[[#This Row],[ROI]],1)),"Brain",IF(ISNUMBER(SEARCH("Muscle",Table1[[#This Row],[ROI]],1)),"Muscle","Noise"))</f>
        <v>Noise</v>
      </c>
      <c r="F14">
        <v>929.92960000000005</v>
      </c>
      <c r="G14">
        <v>235.72460000000001</v>
      </c>
    </row>
    <row r="15" spans="1:7" x14ac:dyDescent="0.3">
      <c r="A15" t="s">
        <v>28</v>
      </c>
      <c r="B15">
        <v>1</v>
      </c>
      <c r="C15" t="s">
        <v>201</v>
      </c>
      <c r="D15" t="s">
        <v>12</v>
      </c>
      <c r="E15" t="str">
        <f>IF(ISNUMBER(SEARCH("Brain",Table1[[#This Row],[ROI]],1)),"Brain",IF(ISNUMBER(SEARCH("Muscle",Table1[[#This Row],[ROI]],1)),"Muscle","Noise"))</f>
        <v>Noise</v>
      </c>
      <c r="F15">
        <v>938.00599999999997</v>
      </c>
      <c r="G15">
        <v>238.50280000000001</v>
      </c>
    </row>
    <row r="16" spans="1:7" x14ac:dyDescent="0.3">
      <c r="A16" t="s">
        <v>29</v>
      </c>
      <c r="B16">
        <v>1</v>
      </c>
      <c r="C16" t="s">
        <v>201</v>
      </c>
      <c r="D16" t="s">
        <v>198</v>
      </c>
      <c r="E16" t="str">
        <f>IF(ISNUMBER(SEARCH("Brain",Table1[[#This Row],[ROI]],1)),"Brain",IF(ISNUMBER(SEARCH("Muscle",Table1[[#This Row],[ROI]],1)),"Muscle","Noise"))</f>
        <v>Noise</v>
      </c>
      <c r="F16">
        <v>979.84019999999998</v>
      </c>
      <c r="G16">
        <v>233.47409999999999</v>
      </c>
    </row>
    <row r="17" spans="1:7" x14ac:dyDescent="0.3">
      <c r="A17" t="s">
        <v>30</v>
      </c>
      <c r="B17">
        <v>2</v>
      </c>
      <c r="C17" t="s">
        <v>201</v>
      </c>
      <c r="D17" t="s">
        <v>2</v>
      </c>
      <c r="E17" t="str">
        <f>IF(ISNUMBER(SEARCH("Brain",Table1[[#This Row],[ROI]],1)),"Brain",IF(ISNUMBER(SEARCH("Muscle",Table1[[#This Row],[ROI]],1)),"Muscle","Noise"))</f>
        <v>Brain</v>
      </c>
      <c r="F17">
        <v>5450.7736000000004</v>
      </c>
      <c r="G17">
        <v>893.44299999999998</v>
      </c>
    </row>
    <row r="18" spans="1:7" x14ac:dyDescent="0.3">
      <c r="A18" t="s">
        <v>31</v>
      </c>
      <c r="B18">
        <v>2</v>
      </c>
      <c r="C18" t="s">
        <v>201</v>
      </c>
      <c r="D18" t="s">
        <v>3</v>
      </c>
      <c r="E18" t="str">
        <f>IF(ISNUMBER(SEARCH("Brain",Table1[[#This Row],[ROI]],1)),"Brain",IF(ISNUMBER(SEARCH("Muscle",Table1[[#This Row],[ROI]],1)),"Muscle","Noise"))</f>
        <v>Brain</v>
      </c>
      <c r="F18">
        <v>5837.0329000000002</v>
      </c>
      <c r="G18">
        <v>659.03560000000004</v>
      </c>
    </row>
    <row r="19" spans="1:7" x14ac:dyDescent="0.3">
      <c r="A19" t="s">
        <v>32</v>
      </c>
      <c r="B19">
        <v>2</v>
      </c>
      <c r="C19" t="s">
        <v>201</v>
      </c>
      <c r="D19" t="s">
        <v>4</v>
      </c>
      <c r="E19" t="str">
        <f>IF(ISNUMBER(SEARCH("Brain",Table1[[#This Row],[ROI]],1)),"Brain",IF(ISNUMBER(SEARCH("Muscle",Table1[[#This Row],[ROI]],1)),"Muscle","Noise"))</f>
        <v>Brain</v>
      </c>
      <c r="F19">
        <v>5737.6296000000002</v>
      </c>
      <c r="G19">
        <v>658.66819999999996</v>
      </c>
    </row>
    <row r="20" spans="1:7" x14ac:dyDescent="0.3">
      <c r="A20" t="s">
        <v>33</v>
      </c>
      <c r="B20">
        <v>2</v>
      </c>
      <c r="C20" t="s">
        <v>201</v>
      </c>
      <c r="D20" t="s">
        <v>5</v>
      </c>
      <c r="E20" t="str">
        <f>IF(ISNUMBER(SEARCH("Brain",Table1[[#This Row],[ROI]],1)),"Brain",IF(ISNUMBER(SEARCH("Muscle",Table1[[#This Row],[ROI]],1)),"Muscle","Noise"))</f>
        <v>Brain</v>
      </c>
      <c r="F20">
        <v>5641.8939</v>
      </c>
      <c r="G20">
        <v>571.04949999999997</v>
      </c>
    </row>
    <row r="21" spans="1:7" x14ac:dyDescent="0.3">
      <c r="A21" t="s">
        <v>34</v>
      </c>
      <c r="B21">
        <v>2</v>
      </c>
      <c r="C21" t="s">
        <v>201</v>
      </c>
      <c r="D21" t="s">
        <v>6</v>
      </c>
      <c r="E21" t="str">
        <f>IF(ISNUMBER(SEARCH("Brain",Table1[[#This Row],[ROI]],1)),"Brain",IF(ISNUMBER(SEARCH("Muscle",Table1[[#This Row],[ROI]],1)),"Muscle","Noise"))</f>
        <v>Brain</v>
      </c>
      <c r="F21">
        <v>5922.5550000000003</v>
      </c>
      <c r="G21">
        <v>1768.5297</v>
      </c>
    </row>
    <row r="22" spans="1:7" x14ac:dyDescent="0.3">
      <c r="A22" t="s">
        <v>35</v>
      </c>
      <c r="B22">
        <v>2</v>
      </c>
      <c r="C22" t="s">
        <v>201</v>
      </c>
      <c r="D22" t="s">
        <v>7</v>
      </c>
      <c r="E22" t="str">
        <f>IF(ISNUMBER(SEARCH("Brain",Table1[[#This Row],[ROI]],1)),"Brain",IF(ISNUMBER(SEARCH("Muscle",Table1[[#This Row],[ROI]],1)),"Muscle","Noise"))</f>
        <v>Muscle</v>
      </c>
      <c r="F22">
        <v>3615.4241999999999</v>
      </c>
      <c r="G22">
        <v>581.26089999999999</v>
      </c>
    </row>
    <row r="23" spans="1:7" x14ac:dyDescent="0.3">
      <c r="A23" t="s">
        <v>36</v>
      </c>
      <c r="B23">
        <v>2</v>
      </c>
      <c r="C23" t="s">
        <v>201</v>
      </c>
      <c r="D23" t="s">
        <v>8</v>
      </c>
      <c r="E23" t="str">
        <f>IF(ISNUMBER(SEARCH("Brain",Table1[[#This Row],[ROI]],1)),"Brain",IF(ISNUMBER(SEARCH("Muscle",Table1[[#This Row],[ROI]],1)),"Muscle","Noise"))</f>
        <v>Muscle</v>
      </c>
      <c r="F23">
        <v>2755.9095000000002</v>
      </c>
      <c r="G23">
        <v>1075.008</v>
      </c>
    </row>
    <row r="24" spans="1:7" x14ac:dyDescent="0.3">
      <c r="A24" t="s">
        <v>37</v>
      </c>
      <c r="B24">
        <v>2</v>
      </c>
      <c r="C24" t="s">
        <v>201</v>
      </c>
      <c r="D24" t="s">
        <v>195</v>
      </c>
      <c r="E24" t="str">
        <f>IF(ISNUMBER(SEARCH("Brain",Table1[[#This Row],[ROI]],1)),"Brain",IF(ISNUMBER(SEARCH("Muscle",Table1[[#This Row],[ROI]],1)),"Muscle","Noise"))</f>
        <v>Muscle</v>
      </c>
      <c r="F24">
        <v>3877.6457999999998</v>
      </c>
      <c r="G24">
        <v>580.93290000000002</v>
      </c>
    </row>
    <row r="25" spans="1:7" x14ac:dyDescent="0.3">
      <c r="A25" t="s">
        <v>38</v>
      </c>
      <c r="B25">
        <v>2</v>
      </c>
      <c r="C25" t="s">
        <v>201</v>
      </c>
      <c r="D25" t="s">
        <v>196</v>
      </c>
      <c r="E25" t="str">
        <f>IF(ISNUMBER(SEARCH("Brain",Table1[[#This Row],[ROI]],1)),"Brain",IF(ISNUMBER(SEARCH("Muscle",Table1[[#This Row],[ROI]],1)),"Muscle","Noise"))</f>
        <v>Muscle</v>
      </c>
      <c r="F25">
        <v>3828.2426</v>
      </c>
      <c r="G25">
        <v>402.15120000000002</v>
      </c>
    </row>
    <row r="26" spans="1:7" x14ac:dyDescent="0.3">
      <c r="A26" t="s">
        <v>39</v>
      </c>
      <c r="B26">
        <v>2</v>
      </c>
      <c r="C26" t="s">
        <v>201</v>
      </c>
      <c r="D26" t="s">
        <v>197</v>
      </c>
      <c r="E26" t="str">
        <f>IF(ISNUMBER(SEARCH("Brain",Table1[[#This Row],[ROI]],1)),"Brain",IF(ISNUMBER(SEARCH("Muscle",Table1[[#This Row],[ROI]],1)),"Muscle","Noise"))</f>
        <v>Muscle</v>
      </c>
      <c r="F26">
        <v>3853.8519000000001</v>
      </c>
      <c r="G26">
        <v>479.73129999999998</v>
      </c>
    </row>
    <row r="27" spans="1:7" x14ac:dyDescent="0.3">
      <c r="A27" t="s">
        <v>40</v>
      </c>
      <c r="B27">
        <v>2</v>
      </c>
      <c r="C27" t="s">
        <v>201</v>
      </c>
      <c r="D27" t="s">
        <v>9</v>
      </c>
      <c r="E27" t="str">
        <f>IF(ISNUMBER(SEARCH("Brain",Table1[[#This Row],[ROI]],1)),"Brain",IF(ISNUMBER(SEARCH("Muscle",Table1[[#This Row],[ROI]],1)),"Muscle","Noise"))</f>
        <v>Noise</v>
      </c>
      <c r="F27">
        <v>822.35239999999999</v>
      </c>
      <c r="G27">
        <v>239.6414</v>
      </c>
    </row>
    <row r="28" spans="1:7" x14ac:dyDescent="0.3">
      <c r="A28" t="s">
        <v>41</v>
      </c>
      <c r="B28">
        <v>2</v>
      </c>
      <c r="C28" t="s">
        <v>201</v>
      </c>
      <c r="D28" t="s">
        <v>10</v>
      </c>
      <c r="E28" t="str">
        <f>IF(ISNUMBER(SEARCH("Brain",Table1[[#This Row],[ROI]],1)),"Brain",IF(ISNUMBER(SEARCH("Muscle",Table1[[#This Row],[ROI]],1)),"Muscle","Noise"))</f>
        <v>Noise</v>
      </c>
      <c r="F28">
        <v>801.10320000000002</v>
      </c>
      <c r="G28">
        <v>227.3914</v>
      </c>
    </row>
    <row r="29" spans="1:7" x14ac:dyDescent="0.3">
      <c r="A29" t="s">
        <v>42</v>
      </c>
      <c r="B29">
        <v>2</v>
      </c>
      <c r="C29" t="s">
        <v>201</v>
      </c>
      <c r="D29" t="s">
        <v>11</v>
      </c>
      <c r="E29" t="str">
        <f>IF(ISNUMBER(SEARCH("Brain",Table1[[#This Row],[ROI]],1)),"Brain",IF(ISNUMBER(SEARCH("Muscle",Table1[[#This Row],[ROI]],1)),"Muscle","Noise"))</f>
        <v>Noise</v>
      </c>
      <c r="F29">
        <v>800.26980000000003</v>
      </c>
      <c r="G29">
        <v>231.21979999999999</v>
      </c>
    </row>
    <row r="30" spans="1:7" x14ac:dyDescent="0.3">
      <c r="A30" t="s">
        <v>43</v>
      </c>
      <c r="B30">
        <v>2</v>
      </c>
      <c r="C30" t="s">
        <v>201</v>
      </c>
      <c r="D30" t="s">
        <v>12</v>
      </c>
      <c r="E30" t="str">
        <f>IF(ISNUMBER(SEARCH("Brain",Table1[[#This Row],[ROI]],1)),"Brain",IF(ISNUMBER(SEARCH("Muscle",Table1[[#This Row],[ROI]],1)),"Muscle","Noise"))</f>
        <v>Noise</v>
      </c>
      <c r="F30">
        <v>808.19050000000004</v>
      </c>
      <c r="G30">
        <v>250.37110000000001</v>
      </c>
    </row>
    <row r="31" spans="1:7" x14ac:dyDescent="0.3">
      <c r="A31" t="s">
        <v>44</v>
      </c>
      <c r="B31">
        <v>2</v>
      </c>
      <c r="C31" t="s">
        <v>201</v>
      </c>
      <c r="D31" t="s">
        <v>198</v>
      </c>
      <c r="E31" t="str">
        <f>IF(ISNUMBER(SEARCH("Brain",Table1[[#This Row],[ROI]],1)),"Brain",IF(ISNUMBER(SEARCH("Muscle",Table1[[#This Row],[ROI]],1)),"Muscle","Noise"))</f>
        <v>Noise</v>
      </c>
      <c r="F31">
        <v>848.94079999999997</v>
      </c>
      <c r="G31">
        <v>251.6447</v>
      </c>
    </row>
    <row r="32" spans="1:7" x14ac:dyDescent="0.3">
      <c r="A32" t="s">
        <v>45</v>
      </c>
      <c r="B32">
        <v>3</v>
      </c>
      <c r="C32" t="s">
        <v>201</v>
      </c>
      <c r="D32" t="s">
        <v>2</v>
      </c>
      <c r="E32" t="str">
        <f>IF(ISNUMBER(SEARCH("Brain",Table1[[#This Row],[ROI]],1)),"Brain",IF(ISNUMBER(SEARCH("Muscle",Table1[[#This Row],[ROI]],1)),"Muscle","Noise"))</f>
        <v>Brain</v>
      </c>
      <c r="F32">
        <v>8304.6298999999999</v>
      </c>
      <c r="G32">
        <v>1872.7570000000001</v>
      </c>
    </row>
    <row r="33" spans="1:7" x14ac:dyDescent="0.3">
      <c r="A33" t="s">
        <v>46</v>
      </c>
      <c r="B33">
        <v>3</v>
      </c>
      <c r="C33" t="s">
        <v>201</v>
      </c>
      <c r="D33" t="s">
        <v>3</v>
      </c>
      <c r="E33" t="str">
        <f>IF(ISNUMBER(SEARCH("Brain",Table1[[#This Row],[ROI]],1)),"Brain",IF(ISNUMBER(SEARCH("Muscle",Table1[[#This Row],[ROI]],1)),"Muscle","Noise"))</f>
        <v>Brain</v>
      </c>
      <c r="F33">
        <v>9548.5629000000008</v>
      </c>
      <c r="G33">
        <v>1432.5536</v>
      </c>
    </row>
    <row r="34" spans="1:7" x14ac:dyDescent="0.3">
      <c r="A34" t="s">
        <v>47</v>
      </c>
      <c r="B34">
        <v>3</v>
      </c>
      <c r="C34" t="s">
        <v>201</v>
      </c>
      <c r="D34" t="s">
        <v>4</v>
      </c>
      <c r="E34" t="str">
        <f>IF(ISNUMBER(SEARCH("Brain",Table1[[#This Row],[ROI]],1)),"Brain",IF(ISNUMBER(SEARCH("Muscle",Table1[[#This Row],[ROI]],1)),"Muscle","Noise"))</f>
        <v>Brain</v>
      </c>
      <c r="F34">
        <v>9453.9779999999992</v>
      </c>
      <c r="G34">
        <v>1424.5669</v>
      </c>
    </row>
    <row r="35" spans="1:7" x14ac:dyDescent="0.3">
      <c r="A35" t="s">
        <v>48</v>
      </c>
      <c r="B35">
        <v>3</v>
      </c>
      <c r="C35" t="s">
        <v>201</v>
      </c>
      <c r="D35" t="s">
        <v>5</v>
      </c>
      <c r="E35" t="str">
        <f>IF(ISNUMBER(SEARCH("Brain",Table1[[#This Row],[ROI]],1)),"Brain",IF(ISNUMBER(SEARCH("Muscle",Table1[[#This Row],[ROI]],1)),"Muscle","Noise"))</f>
        <v>Brain</v>
      </c>
      <c r="F35">
        <v>9250.4982</v>
      </c>
      <c r="G35">
        <v>1229.9517000000001</v>
      </c>
    </row>
    <row r="36" spans="1:7" x14ac:dyDescent="0.3">
      <c r="A36" t="s">
        <v>49</v>
      </c>
      <c r="B36">
        <v>3</v>
      </c>
      <c r="C36" t="s">
        <v>201</v>
      </c>
      <c r="D36" t="s">
        <v>6</v>
      </c>
      <c r="E36" t="str">
        <f>IF(ISNUMBER(SEARCH("Brain",Table1[[#This Row],[ROI]],1)),"Brain",IF(ISNUMBER(SEARCH("Muscle",Table1[[#This Row],[ROI]],1)),"Muscle","Noise"))</f>
        <v>Brain</v>
      </c>
      <c r="F36">
        <v>9275.0917000000009</v>
      </c>
      <c r="G36">
        <v>2120.9798999999998</v>
      </c>
    </row>
    <row r="37" spans="1:7" x14ac:dyDescent="0.3">
      <c r="A37" t="s">
        <v>50</v>
      </c>
      <c r="B37">
        <v>3</v>
      </c>
      <c r="C37" t="s">
        <v>201</v>
      </c>
      <c r="D37" t="s">
        <v>7</v>
      </c>
      <c r="E37" t="str">
        <f>IF(ISNUMBER(SEARCH("Brain",Table1[[#This Row],[ROI]],1)),"Brain",IF(ISNUMBER(SEARCH("Muscle",Table1[[#This Row],[ROI]],1)),"Muscle","Noise"))</f>
        <v>Muscle</v>
      </c>
      <c r="F37">
        <v>5983.3697000000002</v>
      </c>
      <c r="G37">
        <v>1434.8073999999999</v>
      </c>
    </row>
    <row r="38" spans="1:7" x14ac:dyDescent="0.3">
      <c r="A38" t="s">
        <v>51</v>
      </c>
      <c r="B38">
        <v>3</v>
      </c>
      <c r="C38" t="s">
        <v>201</v>
      </c>
      <c r="D38" t="s">
        <v>8</v>
      </c>
      <c r="E38" t="str">
        <f>IF(ISNUMBER(SEARCH("Brain",Table1[[#This Row],[ROI]],1)),"Brain",IF(ISNUMBER(SEARCH("Muscle",Table1[[#This Row],[ROI]],1)),"Muscle","Noise"))</f>
        <v>Muscle</v>
      </c>
      <c r="F38">
        <v>4773.1266999999998</v>
      </c>
      <c r="G38">
        <v>1998.4899</v>
      </c>
    </row>
    <row r="39" spans="1:7" x14ac:dyDescent="0.3">
      <c r="A39" t="s">
        <v>52</v>
      </c>
      <c r="B39">
        <v>3</v>
      </c>
      <c r="C39" t="s">
        <v>201</v>
      </c>
      <c r="D39" t="s">
        <v>195</v>
      </c>
      <c r="E39" t="str">
        <f>IF(ISNUMBER(SEARCH("Brain",Table1[[#This Row],[ROI]],1)),"Brain",IF(ISNUMBER(SEARCH("Muscle",Table1[[#This Row],[ROI]],1)),"Muscle","Noise"))</f>
        <v>Muscle</v>
      </c>
      <c r="F39">
        <v>6126.0486000000001</v>
      </c>
      <c r="G39">
        <v>1109.8018</v>
      </c>
    </row>
    <row r="40" spans="1:7" x14ac:dyDescent="0.3">
      <c r="A40" t="s">
        <v>53</v>
      </c>
      <c r="B40">
        <v>3</v>
      </c>
      <c r="C40" t="s">
        <v>201</v>
      </c>
      <c r="D40" t="s">
        <v>196</v>
      </c>
      <c r="E40" t="str">
        <f>IF(ISNUMBER(SEARCH("Brain",Table1[[#This Row],[ROI]],1)),"Brain",IF(ISNUMBER(SEARCH("Muscle",Table1[[#This Row],[ROI]],1)),"Muscle","Noise"))</f>
        <v>Muscle</v>
      </c>
      <c r="F40">
        <v>5756.4378999999999</v>
      </c>
      <c r="G40">
        <v>1237.8903</v>
      </c>
    </row>
    <row r="41" spans="1:7" x14ac:dyDescent="0.3">
      <c r="A41" t="s">
        <v>54</v>
      </c>
      <c r="B41">
        <v>3</v>
      </c>
      <c r="C41" t="s">
        <v>201</v>
      </c>
      <c r="D41" t="s">
        <v>197</v>
      </c>
      <c r="E41" t="str">
        <f>IF(ISNUMBER(SEARCH("Brain",Table1[[#This Row],[ROI]],1)),"Brain",IF(ISNUMBER(SEARCH("Muscle",Table1[[#This Row],[ROI]],1)),"Muscle","Noise"))</f>
        <v>Muscle</v>
      </c>
      <c r="F41">
        <v>6009.3703999999998</v>
      </c>
      <c r="G41">
        <v>1229.4429</v>
      </c>
    </row>
    <row r="42" spans="1:7" x14ac:dyDescent="0.3">
      <c r="A42" t="s">
        <v>55</v>
      </c>
      <c r="B42">
        <v>3</v>
      </c>
      <c r="C42" t="s">
        <v>201</v>
      </c>
      <c r="D42" t="s">
        <v>9</v>
      </c>
      <c r="E42" t="str">
        <f>IF(ISNUMBER(SEARCH("Brain",Table1[[#This Row],[ROI]],1)),"Brain",IF(ISNUMBER(SEARCH("Muscle",Table1[[#This Row],[ROI]],1)),"Muscle","Noise"))</f>
        <v>Noise</v>
      </c>
      <c r="F42">
        <v>1307.9048</v>
      </c>
      <c r="G42">
        <v>689.89070000000004</v>
      </c>
    </row>
    <row r="43" spans="1:7" x14ac:dyDescent="0.3">
      <c r="A43" t="s">
        <v>56</v>
      </c>
      <c r="B43">
        <v>3</v>
      </c>
      <c r="C43" t="s">
        <v>201</v>
      </c>
      <c r="D43" t="s">
        <v>10</v>
      </c>
      <c r="E43" t="str">
        <f>IF(ISNUMBER(SEARCH("Brain",Table1[[#This Row],[ROI]],1)),"Brain",IF(ISNUMBER(SEARCH("Muscle",Table1[[#This Row],[ROI]],1)),"Muscle","Noise"))</f>
        <v>Noise</v>
      </c>
      <c r="F43">
        <v>1575</v>
      </c>
      <c r="G43">
        <v>1312.9808</v>
      </c>
    </row>
    <row r="44" spans="1:7" x14ac:dyDescent="0.3">
      <c r="A44" t="s">
        <v>57</v>
      </c>
      <c r="B44">
        <v>3</v>
      </c>
      <c r="C44" t="s">
        <v>201</v>
      </c>
      <c r="D44" t="s">
        <v>11</v>
      </c>
      <c r="E44" t="str">
        <f>IF(ISNUMBER(SEARCH("Brain",Table1[[#This Row],[ROI]],1)),"Brain",IF(ISNUMBER(SEARCH("Muscle",Table1[[#This Row],[ROI]],1)),"Muscle","Noise"))</f>
        <v>Noise</v>
      </c>
      <c r="F44">
        <v>1297.0089</v>
      </c>
      <c r="G44">
        <v>716.81029999999998</v>
      </c>
    </row>
    <row r="45" spans="1:7" x14ac:dyDescent="0.3">
      <c r="A45" t="s">
        <v>58</v>
      </c>
      <c r="B45">
        <v>3</v>
      </c>
      <c r="C45" t="s">
        <v>201</v>
      </c>
      <c r="D45" t="s">
        <v>12</v>
      </c>
      <c r="E45" t="str">
        <f>IF(ISNUMBER(SEARCH("Brain",Table1[[#This Row],[ROI]],1)),"Brain",IF(ISNUMBER(SEARCH("Muscle",Table1[[#This Row],[ROI]],1)),"Muscle","Noise"))</f>
        <v>Noise</v>
      </c>
      <c r="F45">
        <v>1288.8869</v>
      </c>
      <c r="G45">
        <v>675.18859999999995</v>
      </c>
    </row>
    <row r="46" spans="1:7" x14ac:dyDescent="0.3">
      <c r="A46" t="s">
        <v>59</v>
      </c>
      <c r="B46">
        <v>3</v>
      </c>
      <c r="C46" t="s">
        <v>201</v>
      </c>
      <c r="D46" t="s">
        <v>198</v>
      </c>
      <c r="E46" t="str">
        <f>IF(ISNUMBER(SEARCH("Brain",Table1[[#This Row],[ROI]],1)),"Brain",IF(ISNUMBER(SEARCH("Muscle",Table1[[#This Row],[ROI]],1)),"Muscle","Noise"))</f>
        <v>Noise</v>
      </c>
      <c r="F46">
        <v>1398.787</v>
      </c>
      <c r="G46">
        <v>815.54259999999999</v>
      </c>
    </row>
    <row r="47" spans="1:7" x14ac:dyDescent="0.3">
      <c r="A47" t="s">
        <v>60</v>
      </c>
      <c r="B47">
        <v>4</v>
      </c>
      <c r="C47" t="s">
        <v>201</v>
      </c>
      <c r="D47" t="s">
        <v>2</v>
      </c>
      <c r="E47" t="str">
        <f>IF(ISNUMBER(SEARCH("Brain",Table1[[#This Row],[ROI]],1)),"Brain",IF(ISNUMBER(SEARCH("Muscle",Table1[[#This Row],[ROI]],1)),"Muscle","Noise"))</f>
        <v>Brain</v>
      </c>
      <c r="F47">
        <v>6737.5780999999997</v>
      </c>
      <c r="G47">
        <v>1135.5911000000001</v>
      </c>
    </row>
    <row r="48" spans="1:7" x14ac:dyDescent="0.3">
      <c r="A48" t="s">
        <v>61</v>
      </c>
      <c r="B48">
        <v>4</v>
      </c>
      <c r="C48" t="s">
        <v>201</v>
      </c>
      <c r="D48" t="s">
        <v>3</v>
      </c>
      <c r="E48" t="str">
        <f>IF(ISNUMBER(SEARCH("Brain",Table1[[#This Row],[ROI]],1)),"Brain",IF(ISNUMBER(SEARCH("Muscle",Table1[[#This Row],[ROI]],1)),"Muscle","Noise"))</f>
        <v>Brain</v>
      </c>
      <c r="F48">
        <v>7377.5853999999999</v>
      </c>
      <c r="G48">
        <v>730.21029999999996</v>
      </c>
    </row>
    <row r="49" spans="1:7" x14ac:dyDescent="0.3">
      <c r="A49" t="s">
        <v>62</v>
      </c>
      <c r="B49">
        <v>4</v>
      </c>
      <c r="C49" t="s">
        <v>201</v>
      </c>
      <c r="D49" t="s">
        <v>4</v>
      </c>
      <c r="E49" t="str">
        <f>IF(ISNUMBER(SEARCH("Brain",Table1[[#This Row],[ROI]],1)),"Brain",IF(ISNUMBER(SEARCH("Muscle",Table1[[#This Row],[ROI]],1)),"Muscle","Noise"))</f>
        <v>Brain</v>
      </c>
      <c r="F49">
        <v>7356.4156999999996</v>
      </c>
      <c r="G49">
        <v>828.10820000000001</v>
      </c>
    </row>
    <row r="50" spans="1:7" x14ac:dyDescent="0.3">
      <c r="A50" t="s">
        <v>63</v>
      </c>
      <c r="B50">
        <v>4</v>
      </c>
      <c r="C50" t="s">
        <v>201</v>
      </c>
      <c r="D50" t="s">
        <v>5</v>
      </c>
      <c r="E50" t="str">
        <f>IF(ISNUMBER(SEARCH("Brain",Table1[[#This Row],[ROI]],1)),"Brain",IF(ISNUMBER(SEARCH("Muscle",Table1[[#This Row],[ROI]],1)),"Muscle","Noise"))</f>
        <v>Brain</v>
      </c>
      <c r="F50">
        <v>7276.2503999999999</v>
      </c>
      <c r="G50">
        <v>636.79169999999999</v>
      </c>
    </row>
    <row r="51" spans="1:7" x14ac:dyDescent="0.3">
      <c r="A51" t="s">
        <v>64</v>
      </c>
      <c r="B51">
        <v>4</v>
      </c>
      <c r="C51" t="s">
        <v>201</v>
      </c>
      <c r="D51" t="s">
        <v>6</v>
      </c>
      <c r="E51" t="str">
        <f>IF(ISNUMBER(SEARCH("Brain",Table1[[#This Row],[ROI]],1)),"Brain",IF(ISNUMBER(SEARCH("Muscle",Table1[[#This Row],[ROI]],1)),"Muscle","Noise"))</f>
        <v>Brain</v>
      </c>
      <c r="F51">
        <v>7344.5294999999996</v>
      </c>
      <c r="G51">
        <v>1105.6042</v>
      </c>
    </row>
    <row r="52" spans="1:7" x14ac:dyDescent="0.3">
      <c r="A52" t="s">
        <v>65</v>
      </c>
      <c r="B52">
        <v>4</v>
      </c>
      <c r="C52" t="s">
        <v>201</v>
      </c>
      <c r="D52" t="s">
        <v>7</v>
      </c>
      <c r="E52" t="str">
        <f>IF(ISNUMBER(SEARCH("Brain",Table1[[#This Row],[ROI]],1)),"Brain",IF(ISNUMBER(SEARCH("Muscle",Table1[[#This Row],[ROI]],1)),"Muscle","Noise"))</f>
        <v>Muscle</v>
      </c>
      <c r="F52">
        <v>4561.6787999999997</v>
      </c>
      <c r="G52">
        <v>881.10069999999996</v>
      </c>
    </row>
    <row r="53" spans="1:7" x14ac:dyDescent="0.3">
      <c r="A53" t="s">
        <v>66</v>
      </c>
      <c r="B53">
        <v>4</v>
      </c>
      <c r="C53" t="s">
        <v>201</v>
      </c>
      <c r="D53" t="s">
        <v>8</v>
      </c>
      <c r="E53" t="str">
        <f>IF(ISNUMBER(SEARCH("Brain",Table1[[#This Row],[ROI]],1)),"Brain",IF(ISNUMBER(SEARCH("Muscle",Table1[[#This Row],[ROI]],1)),"Muscle","Noise"))</f>
        <v>Muscle</v>
      </c>
      <c r="F53">
        <v>4464.2488999999996</v>
      </c>
      <c r="G53">
        <v>1000.8338</v>
      </c>
    </row>
    <row r="54" spans="1:7" x14ac:dyDescent="0.3">
      <c r="A54" t="s">
        <v>67</v>
      </c>
      <c r="B54">
        <v>4</v>
      </c>
      <c r="C54" t="s">
        <v>201</v>
      </c>
      <c r="D54" t="s">
        <v>195</v>
      </c>
      <c r="E54" t="str">
        <f>IF(ISNUMBER(SEARCH("Brain",Table1[[#This Row],[ROI]],1)),"Brain",IF(ISNUMBER(SEARCH("Muscle",Table1[[#This Row],[ROI]],1)),"Muscle","Noise"))</f>
        <v>Muscle</v>
      </c>
      <c r="F54">
        <v>4702.1388999999999</v>
      </c>
      <c r="G54">
        <v>699.24249999999995</v>
      </c>
    </row>
    <row r="55" spans="1:7" x14ac:dyDescent="0.3">
      <c r="A55" t="s">
        <v>68</v>
      </c>
      <c r="B55">
        <v>4</v>
      </c>
      <c r="C55" t="s">
        <v>201</v>
      </c>
      <c r="D55" t="s">
        <v>196</v>
      </c>
      <c r="E55" t="str">
        <f>IF(ISNUMBER(SEARCH("Brain",Table1[[#This Row],[ROI]],1)),"Brain",IF(ISNUMBER(SEARCH("Muscle",Table1[[#This Row],[ROI]],1)),"Muscle","Noise"))</f>
        <v>Muscle</v>
      </c>
      <c r="F55">
        <v>4951.7811000000002</v>
      </c>
      <c r="G55">
        <v>454.23869999999999</v>
      </c>
    </row>
    <row r="56" spans="1:7" x14ac:dyDescent="0.3">
      <c r="A56" t="s">
        <v>69</v>
      </c>
      <c r="B56">
        <v>4</v>
      </c>
      <c r="C56" t="s">
        <v>201</v>
      </c>
      <c r="D56" t="s">
        <v>197</v>
      </c>
      <c r="E56" t="str">
        <f>IF(ISNUMBER(SEARCH("Brain",Table1[[#This Row],[ROI]],1)),"Brain",IF(ISNUMBER(SEARCH("Muscle",Table1[[#This Row],[ROI]],1)),"Muscle","Noise"))</f>
        <v>Muscle</v>
      </c>
      <c r="F56">
        <v>5164.6796000000004</v>
      </c>
      <c r="G56">
        <v>1137.0065</v>
      </c>
    </row>
    <row r="57" spans="1:7" x14ac:dyDescent="0.3">
      <c r="A57" t="s">
        <v>70</v>
      </c>
      <c r="B57">
        <v>4</v>
      </c>
      <c r="C57" t="s">
        <v>201</v>
      </c>
      <c r="D57" t="s">
        <v>9</v>
      </c>
      <c r="E57" t="str">
        <f>IF(ISNUMBER(SEARCH("Brain",Table1[[#This Row],[ROI]],1)),"Brain",IF(ISNUMBER(SEARCH("Muscle",Table1[[#This Row],[ROI]],1)),"Muscle","Noise"))</f>
        <v>Noise</v>
      </c>
      <c r="F57">
        <v>879.87620000000004</v>
      </c>
      <c r="G57">
        <v>215.18260000000001</v>
      </c>
    </row>
    <row r="58" spans="1:7" x14ac:dyDescent="0.3">
      <c r="A58" t="s">
        <v>71</v>
      </c>
      <c r="B58">
        <v>4</v>
      </c>
      <c r="C58" t="s">
        <v>201</v>
      </c>
      <c r="D58" t="s">
        <v>10</v>
      </c>
      <c r="E58" t="str">
        <f>IF(ISNUMBER(SEARCH("Brain",Table1[[#This Row],[ROI]],1)),"Brain",IF(ISNUMBER(SEARCH("Muscle",Table1[[#This Row],[ROI]],1)),"Muscle","Noise"))</f>
        <v>Noise</v>
      </c>
      <c r="F58">
        <v>889.9683</v>
      </c>
      <c r="G58">
        <v>241.32849999999999</v>
      </c>
    </row>
    <row r="59" spans="1:7" x14ac:dyDescent="0.3">
      <c r="A59" t="s">
        <v>72</v>
      </c>
      <c r="B59">
        <v>4</v>
      </c>
      <c r="C59" t="s">
        <v>201</v>
      </c>
      <c r="D59" t="s">
        <v>11</v>
      </c>
      <c r="E59" t="str">
        <f>IF(ISNUMBER(SEARCH("Brain",Table1[[#This Row],[ROI]],1)),"Brain",IF(ISNUMBER(SEARCH("Muscle",Table1[[#This Row],[ROI]],1)),"Muscle","Noise"))</f>
        <v>Noise</v>
      </c>
      <c r="F59">
        <v>892.42660000000001</v>
      </c>
      <c r="G59">
        <v>257.72030000000001</v>
      </c>
    </row>
    <row r="60" spans="1:7" x14ac:dyDescent="0.3">
      <c r="A60" t="s">
        <v>73</v>
      </c>
      <c r="B60">
        <v>4</v>
      </c>
      <c r="C60" t="s">
        <v>201</v>
      </c>
      <c r="D60" t="s">
        <v>12</v>
      </c>
      <c r="E60" t="str">
        <f>IF(ISNUMBER(SEARCH("Brain",Table1[[#This Row],[ROI]],1)),"Brain",IF(ISNUMBER(SEARCH("Muscle",Table1[[#This Row],[ROI]],1)),"Muscle","Noise"))</f>
        <v>Noise</v>
      </c>
      <c r="F60">
        <v>879.07740000000001</v>
      </c>
      <c r="G60">
        <v>244.8519</v>
      </c>
    </row>
    <row r="61" spans="1:7" x14ac:dyDescent="0.3">
      <c r="A61" t="s">
        <v>74</v>
      </c>
      <c r="B61">
        <v>4</v>
      </c>
      <c r="C61" t="s">
        <v>201</v>
      </c>
      <c r="D61" t="s">
        <v>198</v>
      </c>
      <c r="E61" t="str">
        <f>IF(ISNUMBER(SEARCH("Brain",Table1[[#This Row],[ROI]],1)),"Brain",IF(ISNUMBER(SEARCH("Muscle",Table1[[#This Row],[ROI]],1)),"Muscle","Noise"))</f>
        <v>Noise</v>
      </c>
      <c r="F61">
        <v>986.22490000000005</v>
      </c>
      <c r="G61">
        <v>298.8605</v>
      </c>
    </row>
    <row r="62" spans="1:7" x14ac:dyDescent="0.3">
      <c r="A62" t="s">
        <v>75</v>
      </c>
      <c r="B62">
        <v>5</v>
      </c>
      <c r="C62" t="s">
        <v>201</v>
      </c>
      <c r="D62" t="s">
        <v>2</v>
      </c>
      <c r="E62" t="str">
        <f>IF(ISNUMBER(SEARCH("Brain",Table1[[#This Row],[ROI]],1)),"Brain",IF(ISNUMBER(SEARCH("Muscle",Table1[[#This Row],[ROI]],1)),"Muscle","Noise"))</f>
        <v>Brain</v>
      </c>
      <c r="F62">
        <v>6096.2511000000004</v>
      </c>
      <c r="G62">
        <v>1041.4455</v>
      </c>
    </row>
    <row r="63" spans="1:7" x14ac:dyDescent="0.3">
      <c r="A63" t="s">
        <v>76</v>
      </c>
      <c r="B63">
        <v>5</v>
      </c>
      <c r="C63" t="s">
        <v>201</v>
      </c>
      <c r="D63" t="s">
        <v>3</v>
      </c>
      <c r="E63" t="str">
        <f>IF(ISNUMBER(SEARCH("Brain",Table1[[#This Row],[ROI]],1)),"Brain",IF(ISNUMBER(SEARCH("Muscle",Table1[[#This Row],[ROI]],1)),"Muscle","Noise"))</f>
        <v>Brain</v>
      </c>
      <c r="F63">
        <v>6695.2246999999998</v>
      </c>
      <c r="G63">
        <v>711.61479999999995</v>
      </c>
    </row>
    <row r="64" spans="1:7" x14ac:dyDescent="0.3">
      <c r="A64" t="s">
        <v>77</v>
      </c>
      <c r="B64">
        <v>5</v>
      </c>
      <c r="C64" t="s">
        <v>201</v>
      </c>
      <c r="D64" t="s">
        <v>4</v>
      </c>
      <c r="E64" t="str">
        <f>IF(ISNUMBER(SEARCH("Brain",Table1[[#This Row],[ROI]],1)),"Brain",IF(ISNUMBER(SEARCH("Muscle",Table1[[#This Row],[ROI]],1)),"Muscle","Noise"))</f>
        <v>Brain</v>
      </c>
      <c r="F64">
        <v>6633.1315999999997</v>
      </c>
      <c r="G64">
        <v>799.13160000000005</v>
      </c>
    </row>
    <row r="65" spans="1:7" x14ac:dyDescent="0.3">
      <c r="A65" t="s">
        <v>78</v>
      </c>
      <c r="B65">
        <v>5</v>
      </c>
      <c r="C65" t="s">
        <v>201</v>
      </c>
      <c r="D65" t="s">
        <v>5</v>
      </c>
      <c r="E65" t="str">
        <f>IF(ISNUMBER(SEARCH("Brain",Table1[[#This Row],[ROI]],1)),"Brain",IF(ISNUMBER(SEARCH("Muscle",Table1[[#This Row],[ROI]],1)),"Muscle","Noise"))</f>
        <v>Brain</v>
      </c>
      <c r="F65">
        <v>6524.2102999999997</v>
      </c>
      <c r="G65">
        <v>619.20899999999995</v>
      </c>
    </row>
    <row r="66" spans="1:7" x14ac:dyDescent="0.3">
      <c r="A66" t="s">
        <v>79</v>
      </c>
      <c r="B66">
        <v>5</v>
      </c>
      <c r="C66" t="s">
        <v>201</v>
      </c>
      <c r="D66" t="s">
        <v>6</v>
      </c>
      <c r="E66" t="str">
        <f>IF(ISNUMBER(SEARCH("Brain",Table1[[#This Row],[ROI]],1)),"Brain",IF(ISNUMBER(SEARCH("Muscle",Table1[[#This Row],[ROI]],1)),"Muscle","Noise"))</f>
        <v>Brain</v>
      </c>
      <c r="F66">
        <v>6659.0446000000002</v>
      </c>
      <c r="G66">
        <v>1425.3472999999999</v>
      </c>
    </row>
    <row r="67" spans="1:7" x14ac:dyDescent="0.3">
      <c r="A67" t="s">
        <v>80</v>
      </c>
      <c r="B67">
        <v>5</v>
      </c>
      <c r="C67" t="s">
        <v>201</v>
      </c>
      <c r="D67" t="s">
        <v>7</v>
      </c>
      <c r="E67" t="str">
        <f>IF(ISNUMBER(SEARCH("Brain",Table1[[#This Row],[ROI]],1)),"Brain",IF(ISNUMBER(SEARCH("Muscle",Table1[[#This Row],[ROI]],1)),"Muscle","Noise"))</f>
        <v>Muscle</v>
      </c>
      <c r="F67">
        <v>3939.4364</v>
      </c>
      <c r="G67">
        <v>801.21100000000001</v>
      </c>
    </row>
    <row r="68" spans="1:7" x14ac:dyDescent="0.3">
      <c r="A68" t="s">
        <v>81</v>
      </c>
      <c r="B68">
        <v>5</v>
      </c>
      <c r="C68" t="s">
        <v>201</v>
      </c>
      <c r="D68" t="s">
        <v>8</v>
      </c>
      <c r="E68" t="str">
        <f>IF(ISNUMBER(SEARCH("Brain",Table1[[#This Row],[ROI]],1)),"Brain",IF(ISNUMBER(SEARCH("Muscle",Table1[[#This Row],[ROI]],1)),"Muscle","Noise"))</f>
        <v>Muscle</v>
      </c>
      <c r="F68">
        <v>3088.5700999999999</v>
      </c>
      <c r="G68">
        <v>1341.3547000000001</v>
      </c>
    </row>
    <row r="69" spans="1:7" x14ac:dyDescent="0.3">
      <c r="A69" t="s">
        <v>82</v>
      </c>
      <c r="B69">
        <v>5</v>
      </c>
      <c r="C69" t="s">
        <v>201</v>
      </c>
      <c r="D69" t="s">
        <v>195</v>
      </c>
      <c r="E69" t="str">
        <f>IF(ISNUMBER(SEARCH("Brain",Table1[[#This Row],[ROI]],1)),"Brain",IF(ISNUMBER(SEARCH("Muscle",Table1[[#This Row],[ROI]],1)),"Muscle","Noise"))</f>
        <v>Muscle</v>
      </c>
      <c r="F69">
        <v>4304.5625</v>
      </c>
      <c r="G69">
        <v>431.39400000000001</v>
      </c>
    </row>
    <row r="70" spans="1:7" x14ac:dyDescent="0.3">
      <c r="A70" t="s">
        <v>83</v>
      </c>
      <c r="B70">
        <v>5</v>
      </c>
      <c r="C70" t="s">
        <v>201</v>
      </c>
      <c r="D70" t="s">
        <v>196</v>
      </c>
      <c r="E70" t="str">
        <f>IF(ISNUMBER(SEARCH("Brain",Table1[[#This Row],[ROI]],1)),"Brain",IF(ISNUMBER(SEARCH("Muscle",Table1[[#This Row],[ROI]],1)),"Muscle","Noise"))</f>
        <v>Muscle</v>
      </c>
      <c r="F70">
        <v>4193.9467000000004</v>
      </c>
      <c r="G70">
        <v>504.39819999999997</v>
      </c>
    </row>
    <row r="71" spans="1:7" x14ac:dyDescent="0.3">
      <c r="A71" t="s">
        <v>84</v>
      </c>
      <c r="B71">
        <v>5</v>
      </c>
      <c r="C71" t="s">
        <v>201</v>
      </c>
      <c r="D71" t="s">
        <v>197</v>
      </c>
      <c r="E71" t="str">
        <f>IF(ISNUMBER(SEARCH("Brain",Table1[[#This Row],[ROI]],1)),"Brain",IF(ISNUMBER(SEARCH("Muscle",Table1[[#This Row],[ROI]],1)),"Muscle","Noise"))</f>
        <v>Muscle</v>
      </c>
      <c r="F71">
        <v>4235.4943999999996</v>
      </c>
      <c r="G71">
        <v>1187.9041</v>
      </c>
    </row>
    <row r="72" spans="1:7" x14ac:dyDescent="0.3">
      <c r="A72" t="s">
        <v>85</v>
      </c>
      <c r="B72">
        <v>5</v>
      </c>
      <c r="C72" t="s">
        <v>201</v>
      </c>
      <c r="D72" t="s">
        <v>9</v>
      </c>
      <c r="E72" t="str">
        <f>IF(ISNUMBER(SEARCH("Brain",Table1[[#This Row],[ROI]],1)),"Brain",IF(ISNUMBER(SEARCH("Muscle",Table1[[#This Row],[ROI]],1)),"Muscle","Noise"))</f>
        <v>Noise</v>
      </c>
      <c r="F72">
        <v>914.8</v>
      </c>
      <c r="G72">
        <v>194.20859999999999</v>
      </c>
    </row>
    <row r="73" spans="1:7" x14ac:dyDescent="0.3">
      <c r="A73" t="s">
        <v>86</v>
      </c>
      <c r="B73">
        <v>5</v>
      </c>
      <c r="C73" t="s">
        <v>201</v>
      </c>
      <c r="D73" t="s">
        <v>10</v>
      </c>
      <c r="E73" t="str">
        <f>IF(ISNUMBER(SEARCH("Brain",Table1[[#This Row],[ROI]],1)),"Brain",IF(ISNUMBER(SEARCH("Muscle",Table1[[#This Row],[ROI]],1)),"Muscle","Noise"))</f>
        <v>Noise</v>
      </c>
      <c r="F73">
        <v>800.77779999999996</v>
      </c>
      <c r="G73">
        <v>184.86359999999999</v>
      </c>
    </row>
    <row r="74" spans="1:7" x14ac:dyDescent="0.3">
      <c r="A74" t="s">
        <v>87</v>
      </c>
      <c r="B74">
        <v>5</v>
      </c>
      <c r="C74" t="s">
        <v>201</v>
      </c>
      <c r="D74" t="s">
        <v>11</v>
      </c>
      <c r="E74" t="str">
        <f>IF(ISNUMBER(SEARCH("Brain",Table1[[#This Row],[ROI]],1)),"Brain",IF(ISNUMBER(SEARCH("Muscle",Table1[[#This Row],[ROI]],1)),"Muscle","Noise"))</f>
        <v>Noise</v>
      </c>
      <c r="F74">
        <v>821.92960000000005</v>
      </c>
      <c r="G74">
        <v>240.10509999999999</v>
      </c>
    </row>
    <row r="75" spans="1:7" x14ac:dyDescent="0.3">
      <c r="A75" t="s">
        <v>88</v>
      </c>
      <c r="B75">
        <v>5</v>
      </c>
      <c r="C75" t="s">
        <v>201</v>
      </c>
      <c r="D75" t="s">
        <v>12</v>
      </c>
      <c r="E75" t="str">
        <f>IF(ISNUMBER(SEARCH("Brain",Table1[[#This Row],[ROI]],1)),"Brain",IF(ISNUMBER(SEARCH("Muscle",Table1[[#This Row],[ROI]],1)),"Muscle","Noise"))</f>
        <v>Noise</v>
      </c>
      <c r="F75">
        <v>890.125</v>
      </c>
      <c r="G75">
        <v>281.94279999999998</v>
      </c>
    </row>
    <row r="76" spans="1:7" x14ac:dyDescent="0.3">
      <c r="A76" t="s">
        <v>89</v>
      </c>
      <c r="B76">
        <v>5</v>
      </c>
      <c r="C76" t="s">
        <v>201</v>
      </c>
      <c r="D76" t="s">
        <v>198</v>
      </c>
      <c r="E76" t="str">
        <f>IF(ISNUMBER(SEARCH("Brain",Table1[[#This Row],[ROI]],1)),"Brain",IF(ISNUMBER(SEARCH("Muscle",Table1[[#This Row],[ROI]],1)),"Muscle","Noise"))</f>
        <v>Noise</v>
      </c>
      <c r="F76">
        <v>874.21299999999997</v>
      </c>
      <c r="G76">
        <v>245.60910000000001</v>
      </c>
    </row>
    <row r="77" spans="1:7" x14ac:dyDescent="0.3">
      <c r="A77" t="s">
        <v>90</v>
      </c>
      <c r="B77">
        <v>6</v>
      </c>
      <c r="C77" t="s">
        <v>201</v>
      </c>
      <c r="D77" t="s">
        <v>2</v>
      </c>
      <c r="E77" t="str">
        <f>IF(ISNUMBER(SEARCH("Brain",Table1[[#This Row],[ROI]],1)),"Brain",IF(ISNUMBER(SEARCH("Muscle",Table1[[#This Row],[ROI]],1)),"Muscle","Noise"))</f>
        <v>Brain</v>
      </c>
      <c r="F77">
        <v>6387.6580999999996</v>
      </c>
      <c r="G77">
        <v>942.97559999999999</v>
      </c>
    </row>
    <row r="78" spans="1:7" x14ac:dyDescent="0.3">
      <c r="A78" t="s">
        <v>91</v>
      </c>
      <c r="B78">
        <v>6</v>
      </c>
      <c r="C78" t="s">
        <v>201</v>
      </c>
      <c r="D78" t="s">
        <v>3</v>
      </c>
      <c r="E78" t="str">
        <f>IF(ISNUMBER(SEARCH("Brain",Table1[[#This Row],[ROI]],1)),"Brain",IF(ISNUMBER(SEARCH("Muscle",Table1[[#This Row],[ROI]],1)),"Muscle","Noise"))</f>
        <v>Brain</v>
      </c>
      <c r="F78">
        <v>6936.6625999999997</v>
      </c>
      <c r="G78">
        <v>676.61080000000004</v>
      </c>
    </row>
    <row r="79" spans="1:7" x14ac:dyDescent="0.3">
      <c r="A79" t="s">
        <v>92</v>
      </c>
      <c r="B79">
        <v>6</v>
      </c>
      <c r="C79" t="s">
        <v>201</v>
      </c>
      <c r="D79" t="s">
        <v>4</v>
      </c>
      <c r="E79" t="str">
        <f>IF(ISNUMBER(SEARCH("Brain",Table1[[#This Row],[ROI]],1)),"Brain",IF(ISNUMBER(SEARCH("Muscle",Table1[[#This Row],[ROI]],1)),"Muscle","Noise"))</f>
        <v>Brain</v>
      </c>
      <c r="F79">
        <v>6830.9939000000004</v>
      </c>
      <c r="G79">
        <v>747.50509999999997</v>
      </c>
    </row>
    <row r="80" spans="1:7" x14ac:dyDescent="0.3">
      <c r="A80" t="s">
        <v>93</v>
      </c>
      <c r="B80">
        <v>6</v>
      </c>
      <c r="C80" t="s">
        <v>201</v>
      </c>
      <c r="D80" t="s">
        <v>5</v>
      </c>
      <c r="E80" t="str">
        <f>IF(ISNUMBER(SEARCH("Brain",Table1[[#This Row],[ROI]],1)),"Brain",IF(ISNUMBER(SEARCH("Muscle",Table1[[#This Row],[ROI]],1)),"Muscle","Noise"))</f>
        <v>Brain</v>
      </c>
      <c r="F80">
        <v>6867.1063999999997</v>
      </c>
      <c r="G80">
        <v>603.53200000000004</v>
      </c>
    </row>
    <row r="81" spans="1:7" x14ac:dyDescent="0.3">
      <c r="A81" t="s">
        <v>94</v>
      </c>
      <c r="B81">
        <v>6</v>
      </c>
      <c r="C81" t="s">
        <v>201</v>
      </c>
      <c r="D81" t="s">
        <v>6</v>
      </c>
      <c r="E81" t="str">
        <f>IF(ISNUMBER(SEARCH("Brain",Table1[[#This Row],[ROI]],1)),"Brain",IF(ISNUMBER(SEARCH("Muscle",Table1[[#This Row],[ROI]],1)),"Muscle","Noise"))</f>
        <v>Brain</v>
      </c>
      <c r="F81">
        <v>7008.2656999999999</v>
      </c>
      <c r="G81">
        <v>1512.9322</v>
      </c>
    </row>
    <row r="82" spans="1:7" x14ac:dyDescent="0.3">
      <c r="A82" t="s">
        <v>95</v>
      </c>
      <c r="B82">
        <v>6</v>
      </c>
      <c r="C82" t="s">
        <v>201</v>
      </c>
      <c r="D82" t="s">
        <v>7</v>
      </c>
      <c r="E82" t="str">
        <f>IF(ISNUMBER(SEARCH("Brain",Table1[[#This Row],[ROI]],1)),"Brain",IF(ISNUMBER(SEARCH("Muscle",Table1[[#This Row],[ROI]],1)),"Muscle","Noise"))</f>
        <v>Muscle</v>
      </c>
      <c r="F82">
        <v>4201.0364</v>
      </c>
      <c r="G82">
        <v>873.47770000000003</v>
      </c>
    </row>
    <row r="83" spans="1:7" x14ac:dyDescent="0.3">
      <c r="A83" t="s">
        <v>96</v>
      </c>
      <c r="B83">
        <v>6</v>
      </c>
      <c r="C83" t="s">
        <v>201</v>
      </c>
      <c r="D83" t="s">
        <v>8</v>
      </c>
      <c r="E83" t="str">
        <f>IF(ISNUMBER(SEARCH("Brain",Table1[[#This Row],[ROI]],1)),"Brain",IF(ISNUMBER(SEARCH("Muscle",Table1[[#This Row],[ROI]],1)),"Muscle","Noise"))</f>
        <v>Muscle</v>
      </c>
      <c r="F83">
        <v>4044.8552</v>
      </c>
      <c r="G83">
        <v>962.47029999999995</v>
      </c>
    </row>
    <row r="84" spans="1:7" x14ac:dyDescent="0.3">
      <c r="A84" t="s">
        <v>97</v>
      </c>
      <c r="B84">
        <v>6</v>
      </c>
      <c r="C84" t="s">
        <v>201</v>
      </c>
      <c r="D84" t="s">
        <v>195</v>
      </c>
      <c r="E84" t="str">
        <f>IF(ISNUMBER(SEARCH("Brain",Table1[[#This Row],[ROI]],1)),"Brain",IF(ISNUMBER(SEARCH("Muscle",Table1[[#This Row],[ROI]],1)),"Muscle","Noise"))</f>
        <v>Muscle</v>
      </c>
      <c r="F84">
        <v>4354.2361000000001</v>
      </c>
      <c r="G84">
        <v>597.11019999999996</v>
      </c>
    </row>
    <row r="85" spans="1:7" x14ac:dyDescent="0.3">
      <c r="A85" t="s">
        <v>98</v>
      </c>
      <c r="B85">
        <v>6</v>
      </c>
      <c r="C85" t="s">
        <v>201</v>
      </c>
      <c r="D85" t="s">
        <v>196</v>
      </c>
      <c r="E85" t="str">
        <f>IF(ISNUMBER(SEARCH("Brain",Table1[[#This Row],[ROI]],1)),"Brain",IF(ISNUMBER(SEARCH("Muscle",Table1[[#This Row],[ROI]],1)),"Muscle","Noise"))</f>
        <v>Muscle</v>
      </c>
      <c r="F85">
        <v>4470.5443999999998</v>
      </c>
      <c r="G85">
        <v>595.83389999999997</v>
      </c>
    </row>
    <row r="86" spans="1:7" x14ac:dyDescent="0.3">
      <c r="A86" t="s">
        <v>99</v>
      </c>
      <c r="B86">
        <v>6</v>
      </c>
      <c r="C86" t="s">
        <v>201</v>
      </c>
      <c r="D86" t="s">
        <v>197</v>
      </c>
      <c r="E86" t="str">
        <f>IF(ISNUMBER(SEARCH("Brain",Table1[[#This Row],[ROI]],1)),"Brain",IF(ISNUMBER(SEARCH("Muscle",Table1[[#This Row],[ROI]],1)),"Muscle","Noise"))</f>
        <v>Muscle</v>
      </c>
      <c r="F86">
        <v>4585.1741000000002</v>
      </c>
      <c r="G86">
        <v>534.45680000000004</v>
      </c>
    </row>
    <row r="87" spans="1:7" x14ac:dyDescent="0.3">
      <c r="A87" t="s">
        <v>100</v>
      </c>
      <c r="B87">
        <v>6</v>
      </c>
      <c r="C87" t="s">
        <v>201</v>
      </c>
      <c r="D87" t="s">
        <v>9</v>
      </c>
      <c r="E87" t="str">
        <f>IF(ISNUMBER(SEARCH("Brain",Table1[[#This Row],[ROI]],1)),"Brain",IF(ISNUMBER(SEARCH("Muscle",Table1[[#This Row],[ROI]],1)),"Muscle","Noise"))</f>
        <v>Noise</v>
      </c>
      <c r="F87">
        <v>920.05709999999999</v>
      </c>
      <c r="G87">
        <v>213.37569999999999</v>
      </c>
    </row>
    <row r="88" spans="1:7" x14ac:dyDescent="0.3">
      <c r="A88" t="s">
        <v>101</v>
      </c>
      <c r="B88">
        <v>6</v>
      </c>
      <c r="C88" t="s">
        <v>201</v>
      </c>
      <c r="D88" t="s">
        <v>10</v>
      </c>
      <c r="E88" t="str">
        <f>IF(ISNUMBER(SEARCH("Brain",Table1[[#This Row],[ROI]],1)),"Brain",IF(ISNUMBER(SEARCH("Muscle",Table1[[#This Row],[ROI]],1)),"Muscle","Noise"))</f>
        <v>Noise</v>
      </c>
      <c r="F88">
        <v>857.53970000000004</v>
      </c>
      <c r="G88">
        <v>282.97710000000001</v>
      </c>
    </row>
    <row r="89" spans="1:7" x14ac:dyDescent="0.3">
      <c r="A89" t="s">
        <v>102</v>
      </c>
      <c r="B89">
        <v>6</v>
      </c>
      <c r="C89" t="s">
        <v>201</v>
      </c>
      <c r="D89" t="s">
        <v>11</v>
      </c>
      <c r="E89" t="str">
        <f>IF(ISNUMBER(SEARCH("Brain",Table1[[#This Row],[ROI]],1)),"Brain",IF(ISNUMBER(SEARCH("Muscle",Table1[[#This Row],[ROI]],1)),"Muscle","Noise"))</f>
        <v>Noise</v>
      </c>
      <c r="F89">
        <v>867.53769999999997</v>
      </c>
      <c r="G89">
        <v>243.6772</v>
      </c>
    </row>
    <row r="90" spans="1:7" x14ac:dyDescent="0.3">
      <c r="A90" t="s">
        <v>103</v>
      </c>
      <c r="B90">
        <v>6</v>
      </c>
      <c r="C90" t="s">
        <v>201</v>
      </c>
      <c r="D90" t="s">
        <v>12</v>
      </c>
      <c r="E90" t="str">
        <f>IF(ISNUMBER(SEARCH("Brain",Table1[[#This Row],[ROI]],1)),"Brain",IF(ISNUMBER(SEARCH("Muscle",Table1[[#This Row],[ROI]],1)),"Muscle","Noise"))</f>
        <v>Noise</v>
      </c>
      <c r="F90">
        <v>835</v>
      </c>
      <c r="G90">
        <v>218.32990000000001</v>
      </c>
    </row>
    <row r="91" spans="1:7" x14ac:dyDescent="0.3">
      <c r="A91" t="s">
        <v>104</v>
      </c>
      <c r="B91">
        <v>6</v>
      </c>
      <c r="C91" t="s">
        <v>201</v>
      </c>
      <c r="D91" t="s">
        <v>198</v>
      </c>
      <c r="E91" t="str">
        <f>IF(ISNUMBER(SEARCH("Brain",Table1[[#This Row],[ROI]],1)),"Brain",IF(ISNUMBER(SEARCH("Muscle",Table1[[#This Row],[ROI]],1)),"Muscle","Noise"))</f>
        <v>Noise</v>
      </c>
      <c r="F91">
        <v>866.66859999999997</v>
      </c>
      <c r="G91">
        <v>276.62889999999999</v>
      </c>
    </row>
    <row r="92" spans="1:7" x14ac:dyDescent="0.3">
      <c r="A92" t="s">
        <v>105</v>
      </c>
      <c r="B92">
        <v>7</v>
      </c>
      <c r="C92" t="s">
        <v>201</v>
      </c>
      <c r="D92" t="s">
        <v>2</v>
      </c>
      <c r="E92" t="str">
        <f>IF(ISNUMBER(SEARCH("Brain",Table1[[#This Row],[ROI]],1)),"Brain",IF(ISNUMBER(SEARCH("Muscle",Table1[[#This Row],[ROI]],1)),"Muscle","Noise"))</f>
        <v>Brain</v>
      </c>
      <c r="F92">
        <v>5727.8441999999995</v>
      </c>
      <c r="G92">
        <v>857.12909999999999</v>
      </c>
    </row>
    <row r="93" spans="1:7" x14ac:dyDescent="0.3">
      <c r="A93" t="s">
        <v>106</v>
      </c>
      <c r="B93">
        <v>7</v>
      </c>
      <c r="C93" t="s">
        <v>201</v>
      </c>
      <c r="D93" t="s">
        <v>3</v>
      </c>
      <c r="E93" t="str">
        <f>IF(ISNUMBER(SEARCH("Brain",Table1[[#This Row],[ROI]],1)),"Brain",IF(ISNUMBER(SEARCH("Muscle",Table1[[#This Row],[ROI]],1)),"Muscle","Noise"))</f>
        <v>Brain</v>
      </c>
      <c r="F93">
        <v>6304.1749</v>
      </c>
      <c r="G93">
        <v>674.08109999999999</v>
      </c>
    </row>
    <row r="94" spans="1:7" x14ac:dyDescent="0.3">
      <c r="A94" t="s">
        <v>107</v>
      </c>
      <c r="B94">
        <v>7</v>
      </c>
      <c r="C94" t="s">
        <v>201</v>
      </c>
      <c r="D94" t="s">
        <v>4</v>
      </c>
      <c r="E94" t="str">
        <f>IF(ISNUMBER(SEARCH("Brain",Table1[[#This Row],[ROI]],1)),"Brain",IF(ISNUMBER(SEARCH("Muscle",Table1[[#This Row],[ROI]],1)),"Muscle","Noise"))</f>
        <v>Brain</v>
      </c>
      <c r="F94">
        <v>6265.0904</v>
      </c>
      <c r="G94">
        <v>713.89340000000004</v>
      </c>
    </row>
    <row r="95" spans="1:7" x14ac:dyDescent="0.3">
      <c r="A95" t="s">
        <v>108</v>
      </c>
      <c r="B95">
        <v>7</v>
      </c>
      <c r="C95" t="s">
        <v>201</v>
      </c>
      <c r="D95" t="s">
        <v>5</v>
      </c>
      <c r="E95" t="str">
        <f>IF(ISNUMBER(SEARCH("Brain",Table1[[#This Row],[ROI]],1)),"Brain",IF(ISNUMBER(SEARCH("Muscle",Table1[[#This Row],[ROI]],1)),"Muscle","Noise"))</f>
        <v>Brain</v>
      </c>
      <c r="F95">
        <v>6237.8113999999996</v>
      </c>
      <c r="G95">
        <v>577.36339999999996</v>
      </c>
    </row>
    <row r="96" spans="1:7" x14ac:dyDescent="0.3">
      <c r="A96" t="s">
        <v>109</v>
      </c>
      <c r="B96">
        <v>7</v>
      </c>
      <c r="C96" t="s">
        <v>201</v>
      </c>
      <c r="D96" t="s">
        <v>6</v>
      </c>
      <c r="E96" t="str">
        <f>IF(ISNUMBER(SEARCH("Brain",Table1[[#This Row],[ROI]],1)),"Brain",IF(ISNUMBER(SEARCH("Muscle",Table1[[#This Row],[ROI]],1)),"Muscle","Noise"))</f>
        <v>Brain</v>
      </c>
      <c r="F96">
        <v>6409.7776000000003</v>
      </c>
      <c r="G96">
        <v>1381.6995999999999</v>
      </c>
    </row>
    <row r="97" spans="1:7" x14ac:dyDescent="0.3">
      <c r="A97" t="s">
        <v>110</v>
      </c>
      <c r="B97">
        <v>7</v>
      </c>
      <c r="C97" t="s">
        <v>201</v>
      </c>
      <c r="D97" t="s">
        <v>7</v>
      </c>
      <c r="E97" t="str">
        <f>IF(ISNUMBER(SEARCH("Brain",Table1[[#This Row],[ROI]],1)),"Brain",IF(ISNUMBER(SEARCH("Muscle",Table1[[#This Row],[ROI]],1)),"Muscle","Noise"))</f>
        <v>Muscle</v>
      </c>
      <c r="F97">
        <v>3465.3211999999999</v>
      </c>
      <c r="G97">
        <v>847.57180000000005</v>
      </c>
    </row>
    <row r="98" spans="1:7" x14ac:dyDescent="0.3">
      <c r="A98" t="s">
        <v>111</v>
      </c>
      <c r="B98">
        <v>7</v>
      </c>
      <c r="C98" t="s">
        <v>201</v>
      </c>
      <c r="D98" t="s">
        <v>8</v>
      </c>
      <c r="E98" t="str">
        <f>IF(ISNUMBER(SEARCH("Brain",Table1[[#This Row],[ROI]],1)),"Brain",IF(ISNUMBER(SEARCH("Muscle",Table1[[#This Row],[ROI]],1)),"Muscle","Noise"))</f>
        <v>Muscle</v>
      </c>
      <c r="F98">
        <v>3394.6424999999999</v>
      </c>
      <c r="G98">
        <v>1502.2484999999999</v>
      </c>
    </row>
    <row r="99" spans="1:7" x14ac:dyDescent="0.3">
      <c r="A99" t="s">
        <v>112</v>
      </c>
      <c r="B99">
        <v>7</v>
      </c>
      <c r="C99" t="s">
        <v>201</v>
      </c>
      <c r="D99" t="s">
        <v>195</v>
      </c>
      <c r="E99" t="str">
        <f>IF(ISNUMBER(SEARCH("Brain",Table1[[#This Row],[ROI]],1)),"Brain",IF(ISNUMBER(SEARCH("Muscle",Table1[[#This Row],[ROI]],1)),"Muscle","Noise"))</f>
        <v>Muscle</v>
      </c>
      <c r="F99">
        <v>3532.1943999999999</v>
      </c>
      <c r="G99">
        <v>610.66089999999997</v>
      </c>
    </row>
    <row r="100" spans="1:7" x14ac:dyDescent="0.3">
      <c r="A100" t="s">
        <v>113</v>
      </c>
      <c r="B100">
        <v>7</v>
      </c>
      <c r="C100" t="s">
        <v>201</v>
      </c>
      <c r="D100" t="s">
        <v>196</v>
      </c>
      <c r="E100" t="str">
        <f>IF(ISNUMBER(SEARCH("Brain",Table1[[#This Row],[ROI]],1)),"Brain",IF(ISNUMBER(SEARCH("Muscle",Table1[[#This Row],[ROI]],1)),"Muscle","Noise"))</f>
        <v>Muscle</v>
      </c>
      <c r="F100">
        <v>4281.7987999999996</v>
      </c>
      <c r="G100">
        <v>632.76239999999996</v>
      </c>
    </row>
    <row r="101" spans="1:7" x14ac:dyDescent="0.3">
      <c r="A101" t="s">
        <v>114</v>
      </c>
      <c r="B101">
        <v>7</v>
      </c>
      <c r="C101" t="s">
        <v>201</v>
      </c>
      <c r="D101" t="s">
        <v>197</v>
      </c>
      <c r="E101" t="str">
        <f>IF(ISNUMBER(SEARCH("Brain",Table1[[#This Row],[ROI]],1)),"Brain",IF(ISNUMBER(SEARCH("Muscle",Table1[[#This Row],[ROI]],1)),"Muscle","Noise"))</f>
        <v>Muscle</v>
      </c>
      <c r="F101">
        <v>4141.5185000000001</v>
      </c>
      <c r="G101">
        <v>1092.4166</v>
      </c>
    </row>
    <row r="102" spans="1:7" x14ac:dyDescent="0.3">
      <c r="A102" t="s">
        <v>115</v>
      </c>
      <c r="B102">
        <v>7</v>
      </c>
      <c r="C102" t="s">
        <v>201</v>
      </c>
      <c r="D102" t="s">
        <v>9</v>
      </c>
      <c r="E102" t="str">
        <f>IF(ISNUMBER(SEARCH("Brain",Table1[[#This Row],[ROI]],1)),"Brain",IF(ISNUMBER(SEARCH("Muscle",Table1[[#This Row],[ROI]],1)),"Muscle","Noise"))</f>
        <v>Noise</v>
      </c>
      <c r="F102">
        <v>864.90480000000002</v>
      </c>
      <c r="G102">
        <v>253.30840000000001</v>
      </c>
    </row>
    <row r="103" spans="1:7" x14ac:dyDescent="0.3">
      <c r="A103" t="s">
        <v>116</v>
      </c>
      <c r="B103">
        <v>7</v>
      </c>
      <c r="C103" t="s">
        <v>201</v>
      </c>
      <c r="D103" t="s">
        <v>10</v>
      </c>
      <c r="E103" t="str">
        <f>IF(ISNUMBER(SEARCH("Brain",Table1[[#This Row],[ROI]],1)),"Brain",IF(ISNUMBER(SEARCH("Muscle",Table1[[#This Row],[ROI]],1)),"Muscle","Noise"))</f>
        <v>Noise</v>
      </c>
      <c r="F103">
        <v>858.6508</v>
      </c>
      <c r="G103">
        <v>269.33240000000001</v>
      </c>
    </row>
    <row r="104" spans="1:7" x14ac:dyDescent="0.3">
      <c r="A104" t="s">
        <v>117</v>
      </c>
      <c r="B104">
        <v>7</v>
      </c>
      <c r="C104" t="s">
        <v>201</v>
      </c>
      <c r="D104" t="s">
        <v>11</v>
      </c>
      <c r="E104" t="str">
        <f>IF(ISNUMBER(SEARCH("Brain",Table1[[#This Row],[ROI]],1)),"Brain",IF(ISNUMBER(SEARCH("Muscle",Table1[[#This Row],[ROI]],1)),"Muscle","Noise"))</f>
        <v>Noise</v>
      </c>
      <c r="F104">
        <v>798.13589999999999</v>
      </c>
      <c r="G104">
        <v>230.7568</v>
      </c>
    </row>
    <row r="105" spans="1:7" x14ac:dyDescent="0.3">
      <c r="A105" t="s">
        <v>118</v>
      </c>
      <c r="B105">
        <v>7</v>
      </c>
      <c r="C105" t="s">
        <v>201</v>
      </c>
      <c r="D105" t="s">
        <v>12</v>
      </c>
      <c r="E105" t="str">
        <f>IF(ISNUMBER(SEARCH("Brain",Table1[[#This Row],[ROI]],1)),"Brain",IF(ISNUMBER(SEARCH("Muscle",Table1[[#This Row],[ROI]],1)),"Muscle","Noise"))</f>
        <v>Noise</v>
      </c>
      <c r="F105">
        <v>845.15480000000002</v>
      </c>
      <c r="G105">
        <v>248.21449999999999</v>
      </c>
    </row>
    <row r="106" spans="1:7" x14ac:dyDescent="0.3">
      <c r="A106" t="s">
        <v>119</v>
      </c>
      <c r="B106">
        <v>7</v>
      </c>
      <c r="C106" t="s">
        <v>201</v>
      </c>
      <c r="D106" t="s">
        <v>198</v>
      </c>
      <c r="E106" t="str">
        <f>IF(ISNUMBER(SEARCH("Brain",Table1[[#This Row],[ROI]],1)),"Brain",IF(ISNUMBER(SEARCH("Muscle",Table1[[#This Row],[ROI]],1)),"Muscle","Noise"))</f>
        <v>Noise</v>
      </c>
      <c r="F106">
        <v>813.19529999999997</v>
      </c>
      <c r="G106">
        <v>230.4152</v>
      </c>
    </row>
    <row r="107" spans="1:7" x14ac:dyDescent="0.3">
      <c r="A107" t="s">
        <v>120</v>
      </c>
      <c r="B107">
        <v>8</v>
      </c>
      <c r="C107" t="s">
        <v>201</v>
      </c>
      <c r="D107" t="s">
        <v>2</v>
      </c>
      <c r="E107" t="str">
        <f>IF(ISNUMBER(SEARCH("Brain",Table1[[#This Row],[ROI]],1)),"Brain",IF(ISNUMBER(SEARCH("Muscle",Table1[[#This Row],[ROI]],1)),"Muscle","Noise"))</f>
        <v>Brain</v>
      </c>
      <c r="F107">
        <v>6401.2416999999996</v>
      </c>
      <c r="G107">
        <v>1123.1412</v>
      </c>
    </row>
    <row r="108" spans="1:7" x14ac:dyDescent="0.3">
      <c r="A108" t="s">
        <v>121</v>
      </c>
      <c r="B108">
        <v>8</v>
      </c>
      <c r="C108" t="s">
        <v>201</v>
      </c>
      <c r="D108" t="s">
        <v>3</v>
      </c>
      <c r="E108" t="str">
        <f>IF(ISNUMBER(SEARCH("Brain",Table1[[#This Row],[ROI]],1)),"Brain",IF(ISNUMBER(SEARCH("Muscle",Table1[[#This Row],[ROI]],1)),"Muscle","Noise"))</f>
        <v>Brain</v>
      </c>
      <c r="F108">
        <v>6930.0964999999997</v>
      </c>
      <c r="G108">
        <v>737.69719999999995</v>
      </c>
    </row>
    <row r="109" spans="1:7" x14ac:dyDescent="0.3">
      <c r="A109" t="s">
        <v>122</v>
      </c>
      <c r="B109">
        <v>8</v>
      </c>
      <c r="C109" t="s">
        <v>201</v>
      </c>
      <c r="D109" t="s">
        <v>4</v>
      </c>
      <c r="E109" t="str">
        <f>IF(ISNUMBER(SEARCH("Brain",Table1[[#This Row],[ROI]],1)),"Brain",IF(ISNUMBER(SEARCH("Muscle",Table1[[#This Row],[ROI]],1)),"Muscle","Noise"))</f>
        <v>Brain</v>
      </c>
      <c r="F109">
        <v>6993.9759000000004</v>
      </c>
      <c r="G109">
        <v>830.42619999999999</v>
      </c>
    </row>
    <row r="110" spans="1:7" x14ac:dyDescent="0.3">
      <c r="A110" t="s">
        <v>123</v>
      </c>
      <c r="B110">
        <v>8</v>
      </c>
      <c r="C110" t="s">
        <v>201</v>
      </c>
      <c r="D110" t="s">
        <v>5</v>
      </c>
      <c r="E110" t="str">
        <f>IF(ISNUMBER(SEARCH("Brain",Table1[[#This Row],[ROI]],1)),"Brain",IF(ISNUMBER(SEARCH("Muscle",Table1[[#This Row],[ROI]],1)),"Muscle","Noise"))</f>
        <v>Brain</v>
      </c>
      <c r="F110">
        <v>6909.6122999999998</v>
      </c>
      <c r="G110">
        <v>643.27200000000005</v>
      </c>
    </row>
    <row r="111" spans="1:7" x14ac:dyDescent="0.3">
      <c r="A111" t="s">
        <v>124</v>
      </c>
      <c r="B111">
        <v>8</v>
      </c>
      <c r="C111" t="s">
        <v>201</v>
      </c>
      <c r="D111" t="s">
        <v>6</v>
      </c>
      <c r="E111" t="str">
        <f>IF(ISNUMBER(SEARCH("Brain",Table1[[#This Row],[ROI]],1)),"Brain",IF(ISNUMBER(SEARCH("Muscle",Table1[[#This Row],[ROI]],1)),"Muscle","Noise"))</f>
        <v>Brain</v>
      </c>
      <c r="F111">
        <v>7158.2182000000003</v>
      </c>
      <c r="G111">
        <v>1841.4896000000001</v>
      </c>
    </row>
    <row r="112" spans="1:7" x14ac:dyDescent="0.3">
      <c r="A112" t="s">
        <v>125</v>
      </c>
      <c r="B112">
        <v>8</v>
      </c>
      <c r="C112" t="s">
        <v>201</v>
      </c>
      <c r="D112" t="s">
        <v>7</v>
      </c>
      <c r="E112" t="str">
        <f>IF(ISNUMBER(SEARCH("Brain",Table1[[#This Row],[ROI]],1)),"Brain",IF(ISNUMBER(SEARCH("Muscle",Table1[[#This Row],[ROI]],1)),"Muscle","Noise"))</f>
        <v>Muscle</v>
      </c>
      <c r="F112">
        <v>3123.9758000000002</v>
      </c>
      <c r="G112">
        <v>1610.1287</v>
      </c>
    </row>
    <row r="113" spans="1:7" x14ac:dyDescent="0.3">
      <c r="A113" t="s">
        <v>126</v>
      </c>
      <c r="B113">
        <v>8</v>
      </c>
      <c r="C113" t="s">
        <v>201</v>
      </c>
      <c r="D113" t="s">
        <v>8</v>
      </c>
      <c r="E113" t="str">
        <f>IF(ISNUMBER(SEARCH("Brain",Table1[[#This Row],[ROI]],1)),"Brain",IF(ISNUMBER(SEARCH("Muscle",Table1[[#This Row],[ROI]],1)),"Muscle","Noise"))</f>
        <v>Muscle</v>
      </c>
      <c r="F113">
        <v>3606.2262000000001</v>
      </c>
      <c r="G113">
        <v>1442.9837</v>
      </c>
    </row>
    <row r="114" spans="1:7" x14ac:dyDescent="0.3">
      <c r="A114" t="s">
        <v>127</v>
      </c>
      <c r="B114">
        <v>8</v>
      </c>
      <c r="C114" t="s">
        <v>201</v>
      </c>
      <c r="D114" t="s">
        <v>195</v>
      </c>
      <c r="E114" t="str">
        <f>IF(ISNUMBER(SEARCH("Brain",Table1[[#This Row],[ROI]],1)),"Brain",IF(ISNUMBER(SEARCH("Muscle",Table1[[#This Row],[ROI]],1)),"Muscle","Noise"))</f>
        <v>Muscle</v>
      </c>
      <c r="F114">
        <v>4425.0416999999998</v>
      </c>
      <c r="G114">
        <v>444.98410000000001</v>
      </c>
    </row>
    <row r="115" spans="1:7" x14ac:dyDescent="0.3">
      <c r="A115" t="s">
        <v>128</v>
      </c>
      <c r="B115">
        <v>8</v>
      </c>
      <c r="C115" t="s">
        <v>201</v>
      </c>
      <c r="D115" t="s">
        <v>196</v>
      </c>
      <c r="E115" t="str">
        <f>IF(ISNUMBER(SEARCH("Brain",Table1[[#This Row],[ROI]],1)),"Brain",IF(ISNUMBER(SEARCH("Muscle",Table1[[#This Row],[ROI]],1)),"Muscle","Noise"))</f>
        <v>Muscle</v>
      </c>
      <c r="F115">
        <v>4101.5325000000003</v>
      </c>
      <c r="G115">
        <v>700.6721</v>
      </c>
    </row>
    <row r="116" spans="1:7" x14ac:dyDescent="0.3">
      <c r="A116" t="s">
        <v>129</v>
      </c>
      <c r="B116">
        <v>8</v>
      </c>
      <c r="C116" t="s">
        <v>201</v>
      </c>
      <c r="D116" t="s">
        <v>197</v>
      </c>
      <c r="E116" t="str">
        <f>IF(ISNUMBER(SEARCH("Brain",Table1[[#This Row],[ROI]],1)),"Brain",IF(ISNUMBER(SEARCH("Muscle",Table1[[#This Row],[ROI]],1)),"Muscle","Noise"))</f>
        <v>Muscle</v>
      </c>
      <c r="F116">
        <v>4566.3759</v>
      </c>
      <c r="G116">
        <v>869.9058</v>
      </c>
    </row>
    <row r="117" spans="1:7" x14ac:dyDescent="0.3">
      <c r="A117" t="s">
        <v>130</v>
      </c>
      <c r="B117">
        <v>8</v>
      </c>
      <c r="C117" t="s">
        <v>201</v>
      </c>
      <c r="D117" t="s">
        <v>9</v>
      </c>
      <c r="E117" t="str">
        <f>IF(ISNUMBER(SEARCH("Brain",Table1[[#This Row],[ROI]],1)),"Brain",IF(ISNUMBER(SEARCH("Muscle",Table1[[#This Row],[ROI]],1)),"Muscle","Noise"))</f>
        <v>Noise</v>
      </c>
      <c r="F117">
        <v>809.91430000000003</v>
      </c>
      <c r="G117">
        <v>206.7063</v>
      </c>
    </row>
    <row r="118" spans="1:7" x14ac:dyDescent="0.3">
      <c r="A118" t="s">
        <v>131</v>
      </c>
      <c r="B118">
        <v>8</v>
      </c>
      <c r="C118" t="s">
        <v>201</v>
      </c>
      <c r="D118" t="s">
        <v>10</v>
      </c>
      <c r="E118" t="str">
        <f>IF(ISNUMBER(SEARCH("Brain",Table1[[#This Row],[ROI]],1)),"Brain",IF(ISNUMBER(SEARCH("Muscle",Table1[[#This Row],[ROI]],1)),"Muscle","Noise"))</f>
        <v>Noise</v>
      </c>
      <c r="F118">
        <v>842.74599999999998</v>
      </c>
      <c r="G118">
        <v>235.7671</v>
      </c>
    </row>
    <row r="119" spans="1:7" x14ac:dyDescent="0.3">
      <c r="A119" t="s">
        <v>132</v>
      </c>
      <c r="B119">
        <v>8</v>
      </c>
      <c r="C119" t="s">
        <v>201</v>
      </c>
      <c r="D119" t="s">
        <v>11</v>
      </c>
      <c r="E119" t="str">
        <f>IF(ISNUMBER(SEARCH("Brain",Table1[[#This Row],[ROI]],1)),"Brain",IF(ISNUMBER(SEARCH("Muscle",Table1[[#This Row],[ROI]],1)),"Muscle","Noise"))</f>
        <v>Noise</v>
      </c>
      <c r="F119">
        <v>821.87400000000002</v>
      </c>
      <c r="G119">
        <v>245.08680000000001</v>
      </c>
    </row>
    <row r="120" spans="1:7" x14ac:dyDescent="0.3">
      <c r="A120" t="s">
        <v>133</v>
      </c>
      <c r="B120">
        <v>8</v>
      </c>
      <c r="C120" t="s">
        <v>201</v>
      </c>
      <c r="D120" t="s">
        <v>12</v>
      </c>
      <c r="E120" t="str">
        <f>IF(ISNUMBER(SEARCH("Brain",Table1[[#This Row],[ROI]],1)),"Brain",IF(ISNUMBER(SEARCH("Muscle",Table1[[#This Row],[ROI]],1)),"Muscle","Noise"))</f>
        <v>Noise</v>
      </c>
      <c r="F120">
        <v>830.16070000000002</v>
      </c>
      <c r="G120">
        <v>204.8141</v>
      </c>
    </row>
    <row r="121" spans="1:7" x14ac:dyDescent="0.3">
      <c r="A121" t="s">
        <v>134</v>
      </c>
      <c r="B121">
        <v>8</v>
      </c>
      <c r="C121" t="s">
        <v>201</v>
      </c>
      <c r="D121" t="s">
        <v>198</v>
      </c>
      <c r="E121" t="str">
        <f>IF(ISNUMBER(SEARCH("Brain",Table1[[#This Row],[ROI]],1)),"Brain",IF(ISNUMBER(SEARCH("Muscle",Table1[[#This Row],[ROI]],1)),"Muscle","Noise"))</f>
        <v>Noise</v>
      </c>
      <c r="F121">
        <v>822.69820000000004</v>
      </c>
      <c r="G121">
        <v>257.54939999999999</v>
      </c>
    </row>
    <row r="122" spans="1:7" x14ac:dyDescent="0.3">
      <c r="A122" t="s">
        <v>135</v>
      </c>
      <c r="B122">
        <v>9</v>
      </c>
      <c r="C122" t="s">
        <v>201</v>
      </c>
      <c r="D122" t="s">
        <v>2</v>
      </c>
      <c r="E122" t="str">
        <f>IF(ISNUMBER(SEARCH("Brain",Table1[[#This Row],[ROI]],1)),"Brain",IF(ISNUMBER(SEARCH("Muscle",Table1[[#This Row],[ROI]],1)),"Muscle","Noise"))</f>
        <v>Brain</v>
      </c>
      <c r="F122">
        <v>7024.6860999999999</v>
      </c>
      <c r="G122">
        <v>1107.1409000000001</v>
      </c>
    </row>
    <row r="123" spans="1:7" x14ac:dyDescent="0.3">
      <c r="A123" t="s">
        <v>136</v>
      </c>
      <c r="B123">
        <v>9</v>
      </c>
      <c r="C123" t="s">
        <v>201</v>
      </c>
      <c r="D123" t="s">
        <v>3</v>
      </c>
      <c r="E123" t="str">
        <f>IF(ISNUMBER(SEARCH("Brain",Table1[[#This Row],[ROI]],1)),"Brain",IF(ISNUMBER(SEARCH("Muscle",Table1[[#This Row],[ROI]],1)),"Muscle","Noise"))</f>
        <v>Brain</v>
      </c>
      <c r="F123">
        <v>7505.1840000000002</v>
      </c>
      <c r="G123">
        <v>808.93179999999995</v>
      </c>
    </row>
    <row r="124" spans="1:7" x14ac:dyDescent="0.3">
      <c r="A124" t="s">
        <v>137</v>
      </c>
      <c r="B124">
        <v>9</v>
      </c>
      <c r="C124" t="s">
        <v>201</v>
      </c>
      <c r="D124" t="s">
        <v>4</v>
      </c>
      <c r="E124" t="str">
        <f>IF(ISNUMBER(SEARCH("Brain",Table1[[#This Row],[ROI]],1)),"Brain",IF(ISNUMBER(SEARCH("Muscle",Table1[[#This Row],[ROI]],1)),"Muscle","Noise"))</f>
        <v>Brain</v>
      </c>
      <c r="F124">
        <v>7480.6134000000002</v>
      </c>
      <c r="G124">
        <v>853.23410000000001</v>
      </c>
    </row>
    <row r="125" spans="1:7" x14ac:dyDescent="0.3">
      <c r="A125" t="s">
        <v>138</v>
      </c>
      <c r="B125">
        <v>9</v>
      </c>
      <c r="C125" t="s">
        <v>201</v>
      </c>
      <c r="D125" t="s">
        <v>5</v>
      </c>
      <c r="E125" t="str">
        <f>IF(ISNUMBER(SEARCH("Brain",Table1[[#This Row],[ROI]],1)),"Brain",IF(ISNUMBER(SEARCH("Muscle",Table1[[#This Row],[ROI]],1)),"Muscle","Noise"))</f>
        <v>Brain</v>
      </c>
      <c r="F125">
        <v>7379.6763000000001</v>
      </c>
      <c r="G125">
        <v>686.58159999999998</v>
      </c>
    </row>
    <row r="126" spans="1:7" x14ac:dyDescent="0.3">
      <c r="A126" t="s">
        <v>139</v>
      </c>
      <c r="B126">
        <v>9</v>
      </c>
      <c r="C126" t="s">
        <v>201</v>
      </c>
      <c r="D126" t="s">
        <v>6</v>
      </c>
      <c r="E126" t="str">
        <f>IF(ISNUMBER(SEARCH("Brain",Table1[[#This Row],[ROI]],1)),"Brain",IF(ISNUMBER(SEARCH("Muscle",Table1[[#This Row],[ROI]],1)),"Muscle","Noise"))</f>
        <v>Brain</v>
      </c>
      <c r="F126">
        <v>7540.6670999999997</v>
      </c>
      <c r="G126">
        <v>1860.2293</v>
      </c>
    </row>
    <row r="127" spans="1:7" x14ac:dyDescent="0.3">
      <c r="A127" t="s">
        <v>140</v>
      </c>
      <c r="B127">
        <v>9</v>
      </c>
      <c r="C127" t="s">
        <v>201</v>
      </c>
      <c r="D127" t="s">
        <v>7</v>
      </c>
      <c r="E127" t="str">
        <f>IF(ISNUMBER(SEARCH("Brain",Table1[[#This Row],[ROI]],1)),"Brain",IF(ISNUMBER(SEARCH("Muscle",Table1[[#This Row],[ROI]],1)),"Muscle","Noise"))</f>
        <v>Muscle</v>
      </c>
      <c r="F127">
        <v>4859</v>
      </c>
      <c r="G127">
        <v>897.3415</v>
      </c>
    </row>
    <row r="128" spans="1:7" x14ac:dyDescent="0.3">
      <c r="A128" t="s">
        <v>141</v>
      </c>
      <c r="B128">
        <v>9</v>
      </c>
      <c r="C128" t="s">
        <v>201</v>
      </c>
      <c r="D128" t="s">
        <v>8</v>
      </c>
      <c r="E128" t="str">
        <f>IF(ISNUMBER(SEARCH("Brain",Table1[[#This Row],[ROI]],1)),"Brain",IF(ISNUMBER(SEARCH("Muscle",Table1[[#This Row],[ROI]],1)),"Muscle","Noise"))</f>
        <v>Muscle</v>
      </c>
      <c r="F128">
        <v>4011.4072000000001</v>
      </c>
      <c r="G128">
        <v>1228.7207000000001</v>
      </c>
    </row>
    <row r="129" spans="1:7" x14ac:dyDescent="0.3">
      <c r="A129" t="s">
        <v>142</v>
      </c>
      <c r="B129">
        <v>9</v>
      </c>
      <c r="C129" t="s">
        <v>201</v>
      </c>
      <c r="D129" t="s">
        <v>195</v>
      </c>
      <c r="E129" t="str">
        <f>IF(ISNUMBER(SEARCH("Brain",Table1[[#This Row],[ROI]],1)),"Brain",IF(ISNUMBER(SEARCH("Muscle",Table1[[#This Row],[ROI]],1)),"Muscle","Noise"))</f>
        <v>Muscle</v>
      </c>
      <c r="F129">
        <v>5064.7916999999998</v>
      </c>
      <c r="G129">
        <v>611.83590000000004</v>
      </c>
    </row>
    <row r="130" spans="1:7" x14ac:dyDescent="0.3">
      <c r="A130" t="s">
        <v>143</v>
      </c>
      <c r="B130">
        <v>9</v>
      </c>
      <c r="C130" t="s">
        <v>201</v>
      </c>
      <c r="D130" t="s">
        <v>196</v>
      </c>
      <c r="E130" t="str">
        <f>IF(ISNUMBER(SEARCH("Brain",Table1[[#This Row],[ROI]],1)),"Brain",IF(ISNUMBER(SEARCH("Muscle",Table1[[#This Row],[ROI]],1)),"Muscle","Noise"))</f>
        <v>Muscle</v>
      </c>
      <c r="F130">
        <v>4812.0177999999996</v>
      </c>
      <c r="G130">
        <v>685.25969999999995</v>
      </c>
    </row>
    <row r="131" spans="1:7" x14ac:dyDescent="0.3">
      <c r="A131" t="s">
        <v>144</v>
      </c>
      <c r="B131">
        <v>9</v>
      </c>
      <c r="C131" t="s">
        <v>201</v>
      </c>
      <c r="D131" t="s">
        <v>197</v>
      </c>
      <c r="E131" t="str">
        <f>IF(ISNUMBER(SEARCH("Brain",Table1[[#This Row],[ROI]],1)),"Brain",IF(ISNUMBER(SEARCH("Muscle",Table1[[#This Row],[ROI]],1)),"Muscle","Noise"))</f>
        <v>Muscle</v>
      </c>
      <c r="F131">
        <v>4946.0852000000004</v>
      </c>
      <c r="G131">
        <v>845.75310000000002</v>
      </c>
    </row>
    <row r="132" spans="1:7" x14ac:dyDescent="0.3">
      <c r="A132" t="s">
        <v>145</v>
      </c>
      <c r="B132">
        <v>9</v>
      </c>
      <c r="C132" t="s">
        <v>201</v>
      </c>
      <c r="D132" t="s">
        <v>9</v>
      </c>
      <c r="E132" t="str">
        <f>IF(ISNUMBER(SEARCH("Brain",Table1[[#This Row],[ROI]],1)),"Brain",IF(ISNUMBER(SEARCH("Muscle",Table1[[#This Row],[ROI]],1)),"Muscle","Noise"))</f>
        <v>Noise</v>
      </c>
      <c r="F132">
        <v>1014.581</v>
      </c>
      <c r="G132">
        <v>359.23050000000001</v>
      </c>
    </row>
    <row r="133" spans="1:7" x14ac:dyDescent="0.3">
      <c r="A133" t="s">
        <v>146</v>
      </c>
      <c r="B133">
        <v>9</v>
      </c>
      <c r="C133" t="s">
        <v>201</v>
      </c>
      <c r="D133" t="s">
        <v>10</v>
      </c>
      <c r="E133" t="str">
        <f>IF(ISNUMBER(SEARCH("Brain",Table1[[#This Row],[ROI]],1)),"Brain",IF(ISNUMBER(SEARCH("Muscle",Table1[[#This Row],[ROI]],1)),"Muscle","Noise"))</f>
        <v>Noise</v>
      </c>
      <c r="F133">
        <v>1015.5516</v>
      </c>
      <c r="G133">
        <v>309.45979999999997</v>
      </c>
    </row>
    <row r="134" spans="1:7" x14ac:dyDescent="0.3">
      <c r="A134" t="s">
        <v>147</v>
      </c>
      <c r="B134">
        <v>9</v>
      </c>
      <c r="C134" t="s">
        <v>201</v>
      </c>
      <c r="D134" t="s">
        <v>11</v>
      </c>
      <c r="E134" t="str">
        <f>IF(ISNUMBER(SEARCH("Brain",Table1[[#This Row],[ROI]],1)),"Brain",IF(ISNUMBER(SEARCH("Muscle",Table1[[#This Row],[ROI]],1)),"Muscle","Noise"))</f>
        <v>Noise</v>
      </c>
      <c r="F134">
        <v>970.52380000000005</v>
      </c>
      <c r="G134">
        <v>301.66750000000002</v>
      </c>
    </row>
    <row r="135" spans="1:7" x14ac:dyDescent="0.3">
      <c r="A135" t="s">
        <v>148</v>
      </c>
      <c r="B135">
        <v>9</v>
      </c>
      <c r="C135" t="s">
        <v>201</v>
      </c>
      <c r="D135" t="s">
        <v>12</v>
      </c>
      <c r="E135" t="str">
        <f>IF(ISNUMBER(SEARCH("Brain",Table1[[#This Row],[ROI]],1)),"Brain",IF(ISNUMBER(SEARCH("Muscle",Table1[[#This Row],[ROI]],1)),"Muscle","Noise"))</f>
        <v>Noise</v>
      </c>
      <c r="F135">
        <v>1022.9286</v>
      </c>
      <c r="G135">
        <v>231.3886</v>
      </c>
    </row>
    <row r="136" spans="1:7" x14ac:dyDescent="0.3">
      <c r="A136" t="s">
        <v>149</v>
      </c>
      <c r="B136">
        <v>9</v>
      </c>
      <c r="C136" t="s">
        <v>201</v>
      </c>
      <c r="D136" t="s">
        <v>198</v>
      </c>
      <c r="E136" t="str">
        <f>IF(ISNUMBER(SEARCH("Brain",Table1[[#This Row],[ROI]],1)),"Brain",IF(ISNUMBER(SEARCH("Muscle",Table1[[#This Row],[ROI]],1)),"Muscle","Noise"))</f>
        <v>Noise</v>
      </c>
      <c r="F136">
        <v>933.0059</v>
      </c>
      <c r="G136">
        <v>333.06630000000001</v>
      </c>
    </row>
    <row r="137" spans="1:7" x14ac:dyDescent="0.3">
      <c r="A137" t="s">
        <v>150</v>
      </c>
      <c r="B137">
        <v>10</v>
      </c>
      <c r="C137" t="s">
        <v>201</v>
      </c>
      <c r="D137" t="s">
        <v>2</v>
      </c>
      <c r="E137" t="str">
        <f>IF(ISNUMBER(SEARCH("Brain",Table1[[#This Row],[ROI]],1)),"Brain",IF(ISNUMBER(SEARCH("Muscle",Table1[[#This Row],[ROI]],1)),"Muscle","Noise"))</f>
        <v>Brain</v>
      </c>
      <c r="F137">
        <v>7238.8518000000004</v>
      </c>
      <c r="G137">
        <v>1064.2159999999999</v>
      </c>
    </row>
    <row r="138" spans="1:7" x14ac:dyDescent="0.3">
      <c r="A138" t="s">
        <v>151</v>
      </c>
      <c r="B138">
        <v>10</v>
      </c>
      <c r="C138" t="s">
        <v>201</v>
      </c>
      <c r="D138" t="s">
        <v>3</v>
      </c>
      <c r="E138" t="str">
        <f>IF(ISNUMBER(SEARCH("Brain",Table1[[#This Row],[ROI]],1)),"Brain",IF(ISNUMBER(SEARCH("Muscle",Table1[[#This Row],[ROI]],1)),"Muscle","Noise"))</f>
        <v>Brain</v>
      </c>
      <c r="F138">
        <v>6965.8621999999996</v>
      </c>
      <c r="G138">
        <v>999.2731</v>
      </c>
    </row>
    <row r="139" spans="1:7" x14ac:dyDescent="0.3">
      <c r="A139" t="s">
        <v>152</v>
      </c>
      <c r="B139">
        <v>10</v>
      </c>
      <c r="C139" t="s">
        <v>201</v>
      </c>
      <c r="D139" t="s">
        <v>4</v>
      </c>
      <c r="E139" t="str">
        <f>IF(ISNUMBER(SEARCH("Brain",Table1[[#This Row],[ROI]],1)),"Brain",IF(ISNUMBER(SEARCH("Muscle",Table1[[#This Row],[ROI]],1)),"Muscle","Noise"))</f>
        <v>Brain</v>
      </c>
      <c r="F139">
        <v>7240.0667999999996</v>
      </c>
      <c r="G139">
        <v>1168.5468000000001</v>
      </c>
    </row>
    <row r="140" spans="1:7" x14ac:dyDescent="0.3">
      <c r="A140" t="s">
        <v>153</v>
      </c>
      <c r="B140">
        <v>10</v>
      </c>
      <c r="C140" t="s">
        <v>201</v>
      </c>
      <c r="D140" t="s">
        <v>5</v>
      </c>
      <c r="E140" t="str">
        <f>IF(ISNUMBER(SEARCH("Brain",Table1[[#This Row],[ROI]],1)),"Brain",IF(ISNUMBER(SEARCH("Muscle",Table1[[#This Row],[ROI]],1)),"Muscle","Noise"))</f>
        <v>Brain</v>
      </c>
      <c r="F140">
        <v>7455.9454999999998</v>
      </c>
      <c r="G140">
        <v>976.7201</v>
      </c>
    </row>
    <row r="141" spans="1:7" x14ac:dyDescent="0.3">
      <c r="A141" t="s">
        <v>154</v>
      </c>
      <c r="B141">
        <v>10</v>
      </c>
      <c r="C141" t="s">
        <v>201</v>
      </c>
      <c r="D141" t="s">
        <v>6</v>
      </c>
      <c r="E141" t="str">
        <f>IF(ISNUMBER(SEARCH("Brain",Table1[[#This Row],[ROI]],1)),"Brain",IF(ISNUMBER(SEARCH("Muscle",Table1[[#This Row],[ROI]],1)),"Muscle","Noise"))</f>
        <v>Brain</v>
      </c>
      <c r="F141">
        <v>7968.2555000000002</v>
      </c>
      <c r="G141">
        <v>1909.5305000000001</v>
      </c>
    </row>
    <row r="142" spans="1:7" x14ac:dyDescent="0.3">
      <c r="A142" t="s">
        <v>155</v>
      </c>
      <c r="B142">
        <v>10</v>
      </c>
      <c r="C142" t="s">
        <v>201</v>
      </c>
      <c r="D142" t="s">
        <v>7</v>
      </c>
      <c r="E142" t="str">
        <f>IF(ISNUMBER(SEARCH("Brain",Table1[[#This Row],[ROI]],1)),"Brain",IF(ISNUMBER(SEARCH("Muscle",Table1[[#This Row],[ROI]],1)),"Muscle","Noise"))</f>
        <v>Muscle</v>
      </c>
      <c r="F142">
        <v>5418.1394</v>
      </c>
      <c r="G142">
        <v>1448.4322</v>
      </c>
    </row>
    <row r="143" spans="1:7" x14ac:dyDescent="0.3">
      <c r="A143" t="s">
        <v>156</v>
      </c>
      <c r="B143">
        <v>10</v>
      </c>
      <c r="C143" t="s">
        <v>201</v>
      </c>
      <c r="D143" t="s">
        <v>8</v>
      </c>
      <c r="E143" t="str">
        <f>IF(ISNUMBER(SEARCH("Brain",Table1[[#This Row],[ROI]],1)),"Brain",IF(ISNUMBER(SEARCH("Muscle",Table1[[#This Row],[ROI]],1)),"Muscle","Noise"))</f>
        <v>Muscle</v>
      </c>
      <c r="F143">
        <v>4650.8643000000002</v>
      </c>
      <c r="G143">
        <v>1336.1054999999999</v>
      </c>
    </row>
    <row r="144" spans="1:7" x14ac:dyDescent="0.3">
      <c r="A144" t="s">
        <v>157</v>
      </c>
      <c r="B144">
        <v>10</v>
      </c>
      <c r="C144" t="s">
        <v>201</v>
      </c>
      <c r="D144" t="s">
        <v>195</v>
      </c>
      <c r="E144" t="str">
        <f>IF(ISNUMBER(SEARCH("Brain",Table1[[#This Row],[ROI]],1)),"Brain",IF(ISNUMBER(SEARCH("Muscle",Table1[[#This Row],[ROI]],1)),"Muscle","Noise"))</f>
        <v>Muscle</v>
      </c>
      <c r="F144">
        <v>5131.4236000000001</v>
      </c>
      <c r="G144">
        <v>1150.3271999999999</v>
      </c>
    </row>
    <row r="145" spans="1:7" x14ac:dyDescent="0.3">
      <c r="A145" t="s">
        <v>158</v>
      </c>
      <c r="B145">
        <v>10</v>
      </c>
      <c r="C145" t="s">
        <v>201</v>
      </c>
      <c r="D145" t="s">
        <v>196</v>
      </c>
      <c r="E145" t="str">
        <f>IF(ISNUMBER(SEARCH("Brain",Table1[[#This Row],[ROI]],1)),"Brain",IF(ISNUMBER(SEARCH("Muscle",Table1[[#This Row],[ROI]],1)),"Muscle","Noise"))</f>
        <v>Muscle</v>
      </c>
      <c r="F145">
        <v>3538.4614999999999</v>
      </c>
      <c r="G145">
        <v>1501.7497000000001</v>
      </c>
    </row>
    <row r="146" spans="1:7" x14ac:dyDescent="0.3">
      <c r="A146" t="s">
        <v>159</v>
      </c>
      <c r="B146">
        <v>10</v>
      </c>
      <c r="C146" t="s">
        <v>201</v>
      </c>
      <c r="D146" t="s">
        <v>197</v>
      </c>
      <c r="E146" t="str">
        <f>IF(ISNUMBER(SEARCH("Brain",Table1[[#This Row],[ROI]],1)),"Brain",IF(ISNUMBER(SEARCH("Muscle",Table1[[#This Row],[ROI]],1)),"Muscle","Noise"))</f>
        <v>Muscle</v>
      </c>
      <c r="F146">
        <v>3441.8759</v>
      </c>
      <c r="G146">
        <v>1271.7260000000001</v>
      </c>
    </row>
    <row r="147" spans="1:7" x14ac:dyDescent="0.3">
      <c r="A147" t="s">
        <v>160</v>
      </c>
      <c r="B147">
        <v>10</v>
      </c>
      <c r="C147" t="s">
        <v>201</v>
      </c>
      <c r="D147" t="s">
        <v>9</v>
      </c>
      <c r="E147" t="str">
        <f>IF(ISNUMBER(SEARCH("Brain",Table1[[#This Row],[ROI]],1)),"Brain",IF(ISNUMBER(SEARCH("Muscle",Table1[[#This Row],[ROI]],1)),"Muscle","Noise"))</f>
        <v>Noise</v>
      </c>
      <c r="F147">
        <v>1115.0762</v>
      </c>
      <c r="G147">
        <v>278.79969999999997</v>
      </c>
    </row>
    <row r="148" spans="1:7" x14ac:dyDescent="0.3">
      <c r="A148" t="s">
        <v>161</v>
      </c>
      <c r="B148">
        <v>10</v>
      </c>
      <c r="C148" t="s">
        <v>201</v>
      </c>
      <c r="D148" t="s">
        <v>10</v>
      </c>
      <c r="E148" t="str">
        <f>IF(ISNUMBER(SEARCH("Brain",Table1[[#This Row],[ROI]],1)),"Brain",IF(ISNUMBER(SEARCH("Muscle",Table1[[#This Row],[ROI]],1)),"Muscle","Noise"))</f>
        <v>Noise</v>
      </c>
      <c r="F148">
        <v>1192.2302</v>
      </c>
      <c r="G148">
        <v>425.0539</v>
      </c>
    </row>
    <row r="149" spans="1:7" x14ac:dyDescent="0.3">
      <c r="A149" t="s">
        <v>162</v>
      </c>
      <c r="B149">
        <v>10</v>
      </c>
      <c r="C149" t="s">
        <v>201</v>
      </c>
      <c r="D149" t="s">
        <v>11</v>
      </c>
      <c r="E149" t="str">
        <f>IF(ISNUMBER(SEARCH("Brain",Table1[[#This Row],[ROI]],1)),"Brain",IF(ISNUMBER(SEARCH("Muscle",Table1[[#This Row],[ROI]],1)),"Muscle","Noise"))</f>
        <v>Noise</v>
      </c>
      <c r="F149">
        <v>1024.4544000000001</v>
      </c>
      <c r="G149">
        <v>294.44779999999997</v>
      </c>
    </row>
    <row r="150" spans="1:7" x14ac:dyDescent="0.3">
      <c r="A150" t="s">
        <v>163</v>
      </c>
      <c r="B150">
        <v>10</v>
      </c>
      <c r="C150" t="s">
        <v>201</v>
      </c>
      <c r="D150" t="s">
        <v>12</v>
      </c>
      <c r="E150" t="str">
        <f>IF(ISNUMBER(SEARCH("Brain",Table1[[#This Row],[ROI]],1)),"Brain",IF(ISNUMBER(SEARCH("Muscle",Table1[[#This Row],[ROI]],1)),"Muscle","Noise"))</f>
        <v>Noise</v>
      </c>
      <c r="F150">
        <v>1090.4762000000001</v>
      </c>
      <c r="G150">
        <v>296.12290000000002</v>
      </c>
    </row>
    <row r="151" spans="1:7" x14ac:dyDescent="0.3">
      <c r="A151" t="s">
        <v>164</v>
      </c>
      <c r="B151">
        <v>10</v>
      </c>
      <c r="C151" t="s">
        <v>201</v>
      </c>
      <c r="D151" t="s">
        <v>198</v>
      </c>
      <c r="E151" t="str">
        <f>IF(ISNUMBER(SEARCH("Brain",Table1[[#This Row],[ROI]],1)),"Brain",IF(ISNUMBER(SEARCH("Muscle",Table1[[#This Row],[ROI]],1)),"Muscle","Noise"))</f>
        <v>Noise</v>
      </c>
      <c r="F151">
        <v>1162.7101</v>
      </c>
      <c r="G151">
        <v>372.92140000000001</v>
      </c>
    </row>
    <row r="152" spans="1:7" x14ac:dyDescent="0.3">
      <c r="A152" t="s">
        <v>165</v>
      </c>
      <c r="B152">
        <v>11</v>
      </c>
      <c r="C152" t="s">
        <v>201</v>
      </c>
      <c r="D152" t="s">
        <v>2</v>
      </c>
      <c r="E152" t="str">
        <f>IF(ISNUMBER(SEARCH("Brain",Table1[[#This Row],[ROI]],1)),"Brain",IF(ISNUMBER(SEARCH("Muscle",Table1[[#This Row],[ROI]],1)),"Muscle","Noise"))</f>
        <v>Brain</v>
      </c>
      <c r="F152">
        <v>5856.1336000000001</v>
      </c>
      <c r="G152">
        <v>1099.4069</v>
      </c>
    </row>
    <row r="153" spans="1:7" x14ac:dyDescent="0.3">
      <c r="A153" t="s">
        <v>166</v>
      </c>
      <c r="B153">
        <v>11</v>
      </c>
      <c r="C153" t="s">
        <v>201</v>
      </c>
      <c r="D153" t="s">
        <v>3</v>
      </c>
      <c r="E153" t="str">
        <f>IF(ISNUMBER(SEARCH("Brain",Table1[[#This Row],[ROI]],1)),"Brain",IF(ISNUMBER(SEARCH("Muscle",Table1[[#This Row],[ROI]],1)),"Muscle","Noise"))</f>
        <v>Brain</v>
      </c>
      <c r="F153">
        <v>6308.1629000000003</v>
      </c>
      <c r="G153">
        <v>717.88229999999999</v>
      </c>
    </row>
    <row r="154" spans="1:7" x14ac:dyDescent="0.3">
      <c r="A154" t="s">
        <v>167</v>
      </c>
      <c r="B154">
        <v>11</v>
      </c>
      <c r="C154" t="s">
        <v>201</v>
      </c>
      <c r="D154" t="s">
        <v>4</v>
      </c>
      <c r="E154" t="str">
        <f>IF(ISNUMBER(SEARCH("Brain",Table1[[#This Row],[ROI]],1)),"Brain",IF(ISNUMBER(SEARCH("Muscle",Table1[[#This Row],[ROI]],1)),"Muscle","Noise"))</f>
        <v>Brain</v>
      </c>
      <c r="F154">
        <v>6359.4305000000004</v>
      </c>
      <c r="G154">
        <v>757.21559999999999</v>
      </c>
    </row>
    <row r="155" spans="1:7" x14ac:dyDescent="0.3">
      <c r="A155" t="s">
        <v>168</v>
      </c>
      <c r="B155">
        <v>11</v>
      </c>
      <c r="C155" t="s">
        <v>201</v>
      </c>
      <c r="D155" t="s">
        <v>5</v>
      </c>
      <c r="E155" t="str">
        <f>IF(ISNUMBER(SEARCH("Brain",Table1[[#This Row],[ROI]],1)),"Brain",IF(ISNUMBER(SEARCH("Muscle",Table1[[#This Row],[ROI]],1)),"Muscle","Noise"))</f>
        <v>Brain</v>
      </c>
      <c r="F155">
        <v>6261.2286999999997</v>
      </c>
      <c r="G155">
        <v>603.79859999999996</v>
      </c>
    </row>
    <row r="156" spans="1:7" x14ac:dyDescent="0.3">
      <c r="A156" t="s">
        <v>169</v>
      </c>
      <c r="B156">
        <v>11</v>
      </c>
      <c r="C156" t="s">
        <v>201</v>
      </c>
      <c r="D156" t="s">
        <v>6</v>
      </c>
      <c r="E156" t="str">
        <f>IF(ISNUMBER(SEARCH("Brain",Table1[[#This Row],[ROI]],1)),"Brain",IF(ISNUMBER(SEARCH("Muscle",Table1[[#This Row],[ROI]],1)),"Muscle","Noise"))</f>
        <v>Brain</v>
      </c>
      <c r="F156">
        <v>6494.8073000000004</v>
      </c>
      <c r="G156">
        <v>1856.1864</v>
      </c>
    </row>
    <row r="157" spans="1:7" x14ac:dyDescent="0.3">
      <c r="A157" t="s">
        <v>170</v>
      </c>
      <c r="B157">
        <v>11</v>
      </c>
      <c r="C157" t="s">
        <v>201</v>
      </c>
      <c r="D157" t="s">
        <v>7</v>
      </c>
      <c r="E157" t="str">
        <f>IF(ISNUMBER(SEARCH("Brain",Table1[[#This Row],[ROI]],1)),"Brain",IF(ISNUMBER(SEARCH("Muscle",Table1[[#This Row],[ROI]],1)),"Muscle","Noise"))</f>
        <v>Muscle</v>
      </c>
      <c r="F157">
        <v>3912.2606000000001</v>
      </c>
      <c r="G157">
        <v>761.52049999999997</v>
      </c>
    </row>
    <row r="158" spans="1:7" x14ac:dyDescent="0.3">
      <c r="A158" t="s">
        <v>171</v>
      </c>
      <c r="B158">
        <v>11</v>
      </c>
      <c r="C158" t="s">
        <v>201</v>
      </c>
      <c r="D158" t="s">
        <v>8</v>
      </c>
      <c r="E158" t="str">
        <f>IF(ISNUMBER(SEARCH("Brain",Table1[[#This Row],[ROI]],1)),"Brain",IF(ISNUMBER(SEARCH("Muscle",Table1[[#This Row],[ROI]],1)),"Muscle","Noise"))</f>
        <v>Muscle</v>
      </c>
      <c r="F158">
        <v>3023.5385000000001</v>
      </c>
      <c r="G158">
        <v>1196.3257000000001</v>
      </c>
    </row>
    <row r="159" spans="1:7" x14ac:dyDescent="0.3">
      <c r="A159" t="s">
        <v>172</v>
      </c>
      <c r="B159">
        <v>11</v>
      </c>
      <c r="C159" t="s">
        <v>201</v>
      </c>
      <c r="D159" t="s">
        <v>195</v>
      </c>
      <c r="E159" t="str">
        <f>IF(ISNUMBER(SEARCH("Brain",Table1[[#This Row],[ROI]],1)),"Brain",IF(ISNUMBER(SEARCH("Muscle",Table1[[#This Row],[ROI]],1)),"Muscle","Noise"))</f>
        <v>Muscle</v>
      </c>
      <c r="F159">
        <v>4267.7638999999999</v>
      </c>
      <c r="G159">
        <v>430.036</v>
      </c>
    </row>
    <row r="160" spans="1:7" x14ac:dyDescent="0.3">
      <c r="A160" t="s">
        <v>173</v>
      </c>
      <c r="B160">
        <v>11</v>
      </c>
      <c r="C160" t="s">
        <v>201</v>
      </c>
      <c r="D160" t="s">
        <v>196</v>
      </c>
      <c r="E160" t="str">
        <f>IF(ISNUMBER(SEARCH("Brain",Table1[[#This Row],[ROI]],1)),"Brain",IF(ISNUMBER(SEARCH("Muscle",Table1[[#This Row],[ROI]],1)),"Muscle","Noise"))</f>
        <v>Muscle</v>
      </c>
      <c r="F160">
        <v>3812.3195000000001</v>
      </c>
      <c r="G160">
        <v>665.91679999999997</v>
      </c>
    </row>
    <row r="161" spans="1:7" x14ac:dyDescent="0.3">
      <c r="A161" t="s">
        <v>174</v>
      </c>
      <c r="B161">
        <v>11</v>
      </c>
      <c r="C161" t="s">
        <v>201</v>
      </c>
      <c r="D161" t="s">
        <v>197</v>
      </c>
      <c r="E161" t="str">
        <f>IF(ISNUMBER(SEARCH("Brain",Table1[[#This Row],[ROI]],1)),"Brain",IF(ISNUMBER(SEARCH("Muscle",Table1[[#This Row],[ROI]],1)),"Muscle","Noise"))</f>
        <v>Muscle</v>
      </c>
      <c r="F161">
        <v>3910.2593000000002</v>
      </c>
      <c r="G161">
        <v>710.81280000000004</v>
      </c>
    </row>
    <row r="162" spans="1:7" x14ac:dyDescent="0.3">
      <c r="A162" t="s">
        <v>175</v>
      </c>
      <c r="B162">
        <v>11</v>
      </c>
      <c r="C162" t="s">
        <v>201</v>
      </c>
      <c r="D162" t="s">
        <v>9</v>
      </c>
      <c r="E162" t="str">
        <f>IF(ISNUMBER(SEARCH("Brain",Table1[[#This Row],[ROI]],1)),"Brain",IF(ISNUMBER(SEARCH("Muscle",Table1[[#This Row],[ROI]],1)),"Muscle","Noise"))</f>
        <v>Noise</v>
      </c>
      <c r="F162">
        <v>833.57140000000004</v>
      </c>
      <c r="G162">
        <v>220.37450000000001</v>
      </c>
    </row>
    <row r="163" spans="1:7" x14ac:dyDescent="0.3">
      <c r="A163" t="s">
        <v>176</v>
      </c>
      <c r="B163">
        <v>11</v>
      </c>
      <c r="C163" t="s">
        <v>201</v>
      </c>
      <c r="D163" t="s">
        <v>10</v>
      </c>
      <c r="E163" t="str">
        <f>IF(ISNUMBER(SEARCH("Brain",Table1[[#This Row],[ROI]],1)),"Brain",IF(ISNUMBER(SEARCH("Muscle",Table1[[#This Row],[ROI]],1)),"Muscle","Noise"))</f>
        <v>Noise</v>
      </c>
      <c r="F163">
        <v>846.90480000000002</v>
      </c>
      <c r="G163">
        <v>271.64999999999998</v>
      </c>
    </row>
    <row r="164" spans="1:7" x14ac:dyDescent="0.3">
      <c r="A164" t="s">
        <v>177</v>
      </c>
      <c r="B164">
        <v>11</v>
      </c>
      <c r="C164" t="s">
        <v>201</v>
      </c>
      <c r="D164" t="s">
        <v>11</v>
      </c>
      <c r="E164" t="str">
        <f>IF(ISNUMBER(SEARCH("Brain",Table1[[#This Row],[ROI]],1)),"Brain",IF(ISNUMBER(SEARCH("Muscle",Table1[[#This Row],[ROI]],1)),"Muscle","Noise"))</f>
        <v>Noise</v>
      </c>
      <c r="F164">
        <v>828.74900000000002</v>
      </c>
      <c r="G164">
        <v>234.21260000000001</v>
      </c>
    </row>
    <row r="165" spans="1:7" x14ac:dyDescent="0.3">
      <c r="A165" t="s">
        <v>178</v>
      </c>
      <c r="B165">
        <v>11</v>
      </c>
      <c r="C165" t="s">
        <v>201</v>
      </c>
      <c r="D165" t="s">
        <v>12</v>
      </c>
      <c r="E165" t="str">
        <f>IF(ISNUMBER(SEARCH("Brain",Table1[[#This Row],[ROI]],1)),"Brain",IF(ISNUMBER(SEARCH("Muscle",Table1[[#This Row],[ROI]],1)),"Muscle","Noise"))</f>
        <v>Noise</v>
      </c>
      <c r="F165">
        <v>848.96429999999998</v>
      </c>
      <c r="G165">
        <v>276.29559999999998</v>
      </c>
    </row>
    <row r="166" spans="1:7" x14ac:dyDescent="0.3">
      <c r="A166" t="s">
        <v>179</v>
      </c>
      <c r="B166">
        <v>11</v>
      </c>
      <c r="C166" t="s">
        <v>201</v>
      </c>
      <c r="D166" t="s">
        <v>198</v>
      </c>
      <c r="E166" t="str">
        <f>IF(ISNUMBER(SEARCH("Brain",Table1[[#This Row],[ROI]],1)),"Brain",IF(ISNUMBER(SEARCH("Muscle",Table1[[#This Row],[ROI]],1)),"Muscle","Noise"))</f>
        <v>Noise</v>
      </c>
      <c r="F166">
        <v>834.8107</v>
      </c>
      <c r="G166">
        <v>263.22820000000002</v>
      </c>
    </row>
    <row r="167" spans="1:7" x14ac:dyDescent="0.3">
      <c r="A167" t="s">
        <v>180</v>
      </c>
      <c r="B167">
        <v>12</v>
      </c>
      <c r="C167" t="s">
        <v>201</v>
      </c>
      <c r="D167" t="s">
        <v>2</v>
      </c>
      <c r="E167" t="str">
        <f>IF(ISNUMBER(SEARCH("Brain",Table1[[#This Row],[ROI]],1)),"Brain",IF(ISNUMBER(SEARCH("Muscle",Table1[[#This Row],[ROI]],1)),"Muscle","Noise"))</f>
        <v>Brain</v>
      </c>
      <c r="F167">
        <v>6145.3467000000001</v>
      </c>
      <c r="G167">
        <v>1137.7075</v>
      </c>
    </row>
    <row r="168" spans="1:7" x14ac:dyDescent="0.3">
      <c r="A168" t="s">
        <v>181</v>
      </c>
      <c r="B168">
        <v>12</v>
      </c>
      <c r="C168" t="s">
        <v>201</v>
      </c>
      <c r="D168" t="s">
        <v>3</v>
      </c>
      <c r="E168" t="str">
        <f>IF(ISNUMBER(SEARCH("Brain",Table1[[#This Row],[ROI]],1)),"Brain",IF(ISNUMBER(SEARCH("Muscle",Table1[[#This Row],[ROI]],1)),"Muscle","Noise"))</f>
        <v>Brain</v>
      </c>
      <c r="F168">
        <v>6748</v>
      </c>
      <c r="G168">
        <v>784.05949999999996</v>
      </c>
    </row>
    <row r="169" spans="1:7" x14ac:dyDescent="0.3">
      <c r="A169" t="s">
        <v>182</v>
      </c>
      <c r="B169">
        <v>12</v>
      </c>
      <c r="C169" t="s">
        <v>201</v>
      </c>
      <c r="D169" t="s">
        <v>4</v>
      </c>
      <c r="E169" t="str">
        <f>IF(ISNUMBER(SEARCH("Brain",Table1[[#This Row],[ROI]],1)),"Brain",IF(ISNUMBER(SEARCH("Muscle",Table1[[#This Row],[ROI]],1)),"Muscle","Noise"))</f>
        <v>Brain</v>
      </c>
      <c r="F169">
        <v>6657.6000999999997</v>
      </c>
      <c r="G169">
        <v>874.93669999999997</v>
      </c>
    </row>
    <row r="170" spans="1:7" x14ac:dyDescent="0.3">
      <c r="A170" t="s">
        <v>183</v>
      </c>
      <c r="B170">
        <v>12</v>
      </c>
      <c r="C170" t="s">
        <v>201</v>
      </c>
      <c r="D170" t="s">
        <v>5</v>
      </c>
      <c r="E170" t="str">
        <f>IF(ISNUMBER(SEARCH("Brain",Table1[[#This Row],[ROI]],1)),"Brain",IF(ISNUMBER(SEARCH("Muscle",Table1[[#This Row],[ROI]],1)),"Muscle","Noise"))</f>
        <v>Brain</v>
      </c>
      <c r="F170">
        <v>6540.1018999999997</v>
      </c>
      <c r="G170">
        <v>614.5498</v>
      </c>
    </row>
    <row r="171" spans="1:7" x14ac:dyDescent="0.3">
      <c r="A171" t="s">
        <v>184</v>
      </c>
      <c r="B171">
        <v>12</v>
      </c>
      <c r="C171" t="s">
        <v>201</v>
      </c>
      <c r="D171" t="s">
        <v>6</v>
      </c>
      <c r="E171" t="str">
        <f>IF(ISNUMBER(SEARCH("Brain",Table1[[#This Row],[ROI]],1)),"Brain",IF(ISNUMBER(SEARCH("Muscle",Table1[[#This Row],[ROI]],1)),"Muscle","Noise"))</f>
        <v>Brain</v>
      </c>
      <c r="F171">
        <v>6781.2560999999996</v>
      </c>
      <c r="G171">
        <v>1287.4695999999999</v>
      </c>
    </row>
    <row r="172" spans="1:7" x14ac:dyDescent="0.3">
      <c r="A172" t="s">
        <v>185</v>
      </c>
      <c r="B172">
        <v>12</v>
      </c>
      <c r="C172" t="s">
        <v>201</v>
      </c>
      <c r="D172" t="s">
        <v>7</v>
      </c>
      <c r="E172" t="str">
        <f>IF(ISNUMBER(SEARCH("Brain",Table1[[#This Row],[ROI]],1)),"Brain",IF(ISNUMBER(SEARCH("Muscle",Table1[[#This Row],[ROI]],1)),"Muscle","Noise"))</f>
        <v>Muscle</v>
      </c>
      <c r="F172">
        <v>3766.5879</v>
      </c>
      <c r="G172">
        <v>1304.4557</v>
      </c>
    </row>
    <row r="173" spans="1:7" x14ac:dyDescent="0.3">
      <c r="A173" t="s">
        <v>186</v>
      </c>
      <c r="B173">
        <v>12</v>
      </c>
      <c r="C173" t="s">
        <v>201</v>
      </c>
      <c r="D173" t="s">
        <v>8</v>
      </c>
      <c r="E173" t="str">
        <f>IF(ISNUMBER(SEARCH("Brain",Table1[[#This Row],[ROI]],1)),"Brain",IF(ISNUMBER(SEARCH("Muscle",Table1[[#This Row],[ROI]],1)),"Muscle","Noise"))</f>
        <v>Muscle</v>
      </c>
      <c r="F173">
        <v>3702.6606000000002</v>
      </c>
      <c r="G173">
        <v>1239.2969000000001</v>
      </c>
    </row>
    <row r="174" spans="1:7" x14ac:dyDescent="0.3">
      <c r="A174" t="s">
        <v>187</v>
      </c>
      <c r="B174">
        <v>12</v>
      </c>
      <c r="C174" t="s">
        <v>201</v>
      </c>
      <c r="D174" t="s">
        <v>195</v>
      </c>
      <c r="E174" t="str">
        <f>IF(ISNUMBER(SEARCH("Brain",Table1[[#This Row],[ROI]],1)),"Brain",IF(ISNUMBER(SEARCH("Muscle",Table1[[#This Row],[ROI]],1)),"Muscle","Noise"))</f>
        <v>Muscle</v>
      </c>
      <c r="F174">
        <v>4256.2986000000001</v>
      </c>
      <c r="G174">
        <v>595.79759999999999</v>
      </c>
    </row>
    <row r="175" spans="1:7" x14ac:dyDescent="0.3">
      <c r="A175" t="s">
        <v>188</v>
      </c>
      <c r="B175">
        <v>12</v>
      </c>
      <c r="C175" t="s">
        <v>201</v>
      </c>
      <c r="D175" t="s">
        <v>196</v>
      </c>
      <c r="E175" t="str">
        <f>IF(ISNUMBER(SEARCH("Brain",Table1[[#This Row],[ROI]],1)),"Brain",IF(ISNUMBER(SEARCH("Muscle",Table1[[#This Row],[ROI]],1)),"Muscle","Noise"))</f>
        <v>Muscle</v>
      </c>
      <c r="F175">
        <v>4078.3787000000002</v>
      </c>
      <c r="G175">
        <v>587.44200000000001</v>
      </c>
    </row>
    <row r="176" spans="1:7" x14ac:dyDescent="0.3">
      <c r="A176" t="s">
        <v>189</v>
      </c>
      <c r="B176">
        <v>12</v>
      </c>
      <c r="C176" t="s">
        <v>201</v>
      </c>
      <c r="D176" t="s">
        <v>197</v>
      </c>
      <c r="E176" t="str">
        <f>IF(ISNUMBER(SEARCH("Brain",Table1[[#This Row],[ROI]],1)),"Brain",IF(ISNUMBER(SEARCH("Muscle",Table1[[#This Row],[ROI]],1)),"Muscle","Noise"))</f>
        <v>Muscle</v>
      </c>
      <c r="F176">
        <v>4133.6907000000001</v>
      </c>
      <c r="G176">
        <v>790.86450000000002</v>
      </c>
    </row>
    <row r="177" spans="1:7" x14ac:dyDescent="0.3">
      <c r="A177" t="s">
        <v>190</v>
      </c>
      <c r="B177">
        <v>12</v>
      </c>
      <c r="C177" t="s">
        <v>201</v>
      </c>
      <c r="D177" t="s">
        <v>9</v>
      </c>
      <c r="E177" t="str">
        <f>IF(ISNUMBER(SEARCH("Brain",Table1[[#This Row],[ROI]],1)),"Brain",IF(ISNUMBER(SEARCH("Muscle",Table1[[#This Row],[ROI]],1)),"Muscle","Noise"))</f>
        <v>Noise</v>
      </c>
      <c r="F177">
        <v>800.62860000000001</v>
      </c>
      <c r="G177">
        <v>236.17259999999999</v>
      </c>
    </row>
    <row r="178" spans="1:7" x14ac:dyDescent="0.3">
      <c r="A178" t="s">
        <v>191</v>
      </c>
      <c r="B178">
        <v>12</v>
      </c>
      <c r="C178" t="s">
        <v>201</v>
      </c>
      <c r="D178" t="s">
        <v>10</v>
      </c>
      <c r="E178" t="str">
        <f>IF(ISNUMBER(SEARCH("Brain",Table1[[#This Row],[ROI]],1)),"Brain",IF(ISNUMBER(SEARCH("Muscle",Table1[[#This Row],[ROI]],1)),"Muscle","Noise"))</f>
        <v>Noise</v>
      </c>
      <c r="F178">
        <v>736.26589999999999</v>
      </c>
      <c r="G178">
        <v>240.70339999999999</v>
      </c>
    </row>
    <row r="179" spans="1:7" x14ac:dyDescent="0.3">
      <c r="A179" t="s">
        <v>192</v>
      </c>
      <c r="B179">
        <v>12</v>
      </c>
      <c r="C179" t="s">
        <v>201</v>
      </c>
      <c r="D179" t="s">
        <v>11</v>
      </c>
      <c r="E179" t="str">
        <f>IF(ISNUMBER(SEARCH("Brain",Table1[[#This Row],[ROI]],1)),"Brain",IF(ISNUMBER(SEARCH("Muscle",Table1[[#This Row],[ROI]],1)),"Muscle","Noise"))</f>
        <v>Noise</v>
      </c>
      <c r="F179">
        <v>785.98609999999996</v>
      </c>
      <c r="G179">
        <v>183.80099999999999</v>
      </c>
    </row>
    <row r="180" spans="1:7" x14ac:dyDescent="0.3">
      <c r="A180" t="s">
        <v>193</v>
      </c>
      <c r="B180">
        <v>12</v>
      </c>
      <c r="C180" t="s">
        <v>201</v>
      </c>
      <c r="D180" t="s">
        <v>12</v>
      </c>
      <c r="E180" t="str">
        <f>IF(ISNUMBER(SEARCH("Brain",Table1[[#This Row],[ROI]],1)),"Brain",IF(ISNUMBER(SEARCH("Muscle",Table1[[#This Row],[ROI]],1)),"Muscle","Noise"))</f>
        <v>Noise</v>
      </c>
      <c r="F180">
        <v>801.90480000000002</v>
      </c>
      <c r="G180">
        <v>152.268</v>
      </c>
    </row>
    <row r="181" spans="1:7" x14ac:dyDescent="0.3">
      <c r="A181" t="s">
        <v>194</v>
      </c>
      <c r="B181">
        <v>12</v>
      </c>
      <c r="C181" t="s">
        <v>201</v>
      </c>
      <c r="D181" t="s">
        <v>198</v>
      </c>
      <c r="E181" t="str">
        <f>IF(ISNUMBER(SEARCH("Brain",Table1[[#This Row],[ROI]],1)),"Brain",IF(ISNUMBER(SEARCH("Muscle",Table1[[#This Row],[ROI]],1)),"Muscle","Noise"))</f>
        <v>Noise</v>
      </c>
      <c r="F181">
        <v>825.2663</v>
      </c>
      <c r="G181">
        <v>288.4821</v>
      </c>
    </row>
    <row r="182" spans="1:7" x14ac:dyDescent="0.3">
      <c r="A182" t="s">
        <v>202</v>
      </c>
      <c r="B182">
        <v>1</v>
      </c>
      <c r="C182" t="s">
        <v>382</v>
      </c>
      <c r="D182" t="s">
        <v>2</v>
      </c>
      <c r="E182" t="str">
        <f>IF(ISNUMBER(SEARCH("Brain",Table1[[#This Row],[ROI]],1)),"Brain",IF(ISNUMBER(SEARCH("Muscle",Table1[[#This Row],[ROI]],1)),"Muscle","Noise"))</f>
        <v>Brain</v>
      </c>
      <c r="F182">
        <v>6436.7431999999999</v>
      </c>
      <c r="G182">
        <v>1066.4762000000001</v>
      </c>
    </row>
    <row r="183" spans="1:7" x14ac:dyDescent="0.3">
      <c r="A183" t="s">
        <v>203</v>
      </c>
      <c r="B183">
        <v>1</v>
      </c>
      <c r="C183" t="s">
        <v>382</v>
      </c>
      <c r="D183" t="s">
        <v>3</v>
      </c>
      <c r="E183" t="str">
        <f>IF(ISNUMBER(SEARCH("Brain",Table1[[#This Row],[ROI]],1)),"Brain",IF(ISNUMBER(SEARCH("Muscle",Table1[[#This Row],[ROI]],1)),"Muscle","Noise"))</f>
        <v>Brain</v>
      </c>
      <c r="F183">
        <v>7119.8190000000004</v>
      </c>
      <c r="G183">
        <v>806.37639999999999</v>
      </c>
    </row>
    <row r="184" spans="1:7" x14ac:dyDescent="0.3">
      <c r="A184" t="s">
        <v>204</v>
      </c>
      <c r="B184">
        <v>1</v>
      </c>
      <c r="C184" t="s">
        <v>382</v>
      </c>
      <c r="D184" t="s">
        <v>4</v>
      </c>
      <c r="E184" t="str">
        <f>IF(ISNUMBER(SEARCH("Brain",Table1[[#This Row],[ROI]],1)),"Brain",IF(ISNUMBER(SEARCH("Muscle",Table1[[#This Row],[ROI]],1)),"Muscle","Noise"))</f>
        <v>Brain</v>
      </c>
      <c r="F184">
        <v>7166.9339</v>
      </c>
      <c r="G184">
        <v>820.43370000000004</v>
      </c>
    </row>
    <row r="185" spans="1:7" x14ac:dyDescent="0.3">
      <c r="A185" t="s">
        <v>205</v>
      </c>
      <c r="B185">
        <v>1</v>
      </c>
      <c r="C185" t="s">
        <v>382</v>
      </c>
      <c r="D185" t="s">
        <v>5</v>
      </c>
      <c r="E185" t="str">
        <f>IF(ISNUMBER(SEARCH("Brain",Table1[[#This Row],[ROI]],1)),"Brain",IF(ISNUMBER(SEARCH("Muscle",Table1[[#This Row],[ROI]],1)),"Muscle","Noise"))</f>
        <v>Brain</v>
      </c>
      <c r="F185">
        <v>7087.0742</v>
      </c>
      <c r="G185">
        <v>666.41869999999994</v>
      </c>
    </row>
    <row r="186" spans="1:7" x14ac:dyDescent="0.3">
      <c r="A186" t="s">
        <v>206</v>
      </c>
      <c r="B186">
        <v>1</v>
      </c>
      <c r="C186" t="s">
        <v>382</v>
      </c>
      <c r="D186" t="s">
        <v>6</v>
      </c>
      <c r="E186" t="str">
        <f>IF(ISNUMBER(SEARCH("Brain",Table1[[#This Row],[ROI]],1)),"Brain",IF(ISNUMBER(SEARCH("Muscle",Table1[[#This Row],[ROI]],1)),"Muscle","Noise"))</f>
        <v>Brain</v>
      </c>
      <c r="F186">
        <v>7309.2439999999997</v>
      </c>
      <c r="G186">
        <v>1740.7147</v>
      </c>
    </row>
    <row r="187" spans="1:7" x14ac:dyDescent="0.3">
      <c r="A187" t="s">
        <v>207</v>
      </c>
      <c r="B187">
        <v>1</v>
      </c>
      <c r="C187" t="s">
        <v>382</v>
      </c>
      <c r="D187" t="s">
        <v>7</v>
      </c>
      <c r="E187" t="str">
        <f>IF(ISNUMBER(SEARCH("Brain",Table1[[#This Row],[ROI]],1)),"Brain",IF(ISNUMBER(SEARCH("Muscle",Table1[[#This Row],[ROI]],1)),"Muscle","Noise"))</f>
        <v>Muscle</v>
      </c>
      <c r="F187">
        <v>3929.0061000000001</v>
      </c>
      <c r="G187">
        <v>1577.8824999999999</v>
      </c>
    </row>
    <row r="188" spans="1:7" x14ac:dyDescent="0.3">
      <c r="A188" t="s">
        <v>208</v>
      </c>
      <c r="B188">
        <v>1</v>
      </c>
      <c r="C188" t="s">
        <v>382</v>
      </c>
      <c r="D188" t="s">
        <v>8</v>
      </c>
      <c r="E188" t="str">
        <f>IF(ISNUMBER(SEARCH("Brain",Table1[[#This Row],[ROI]],1)),"Brain",IF(ISNUMBER(SEARCH("Muscle",Table1[[#This Row],[ROI]],1)),"Muscle","Noise"))</f>
        <v>Muscle</v>
      </c>
      <c r="F188">
        <v>4043.4207999999999</v>
      </c>
      <c r="G188">
        <v>1029.5207</v>
      </c>
    </row>
    <row r="189" spans="1:7" x14ac:dyDescent="0.3">
      <c r="A189" t="s">
        <v>209</v>
      </c>
      <c r="B189">
        <v>1</v>
      </c>
      <c r="C189" t="s">
        <v>382</v>
      </c>
      <c r="D189" t="s">
        <v>195</v>
      </c>
      <c r="E189" t="str">
        <f>IF(ISNUMBER(SEARCH("Brain",Table1[[#This Row],[ROI]],1)),"Brain",IF(ISNUMBER(SEARCH("Muscle",Table1[[#This Row],[ROI]],1)),"Muscle","Noise"))</f>
        <v>Muscle</v>
      </c>
      <c r="F189">
        <v>4336.9236000000001</v>
      </c>
      <c r="G189">
        <v>905.27110000000005</v>
      </c>
    </row>
    <row r="190" spans="1:7" x14ac:dyDescent="0.3">
      <c r="A190" t="s">
        <v>210</v>
      </c>
      <c r="B190">
        <v>1</v>
      </c>
      <c r="C190" t="s">
        <v>382</v>
      </c>
      <c r="D190" t="s">
        <v>196</v>
      </c>
      <c r="E190" t="str">
        <f>IF(ISNUMBER(SEARCH("Brain",Table1[[#This Row],[ROI]],1)),"Brain",IF(ISNUMBER(SEARCH("Muscle",Table1[[#This Row],[ROI]],1)),"Muscle","Noise"))</f>
        <v>Muscle</v>
      </c>
      <c r="F190">
        <v>4538.3669</v>
      </c>
      <c r="G190">
        <v>559.80129999999997</v>
      </c>
    </row>
    <row r="191" spans="1:7" x14ac:dyDescent="0.3">
      <c r="A191" t="s">
        <v>211</v>
      </c>
      <c r="B191">
        <v>1</v>
      </c>
      <c r="C191" t="s">
        <v>382</v>
      </c>
      <c r="D191" t="s">
        <v>197</v>
      </c>
      <c r="E191" t="str">
        <f>IF(ISNUMBER(SEARCH("Brain",Table1[[#This Row],[ROI]],1)),"Brain",IF(ISNUMBER(SEARCH("Muscle",Table1[[#This Row],[ROI]],1)),"Muscle","Noise"))</f>
        <v>Muscle</v>
      </c>
      <c r="F191">
        <v>4477.3981000000003</v>
      </c>
      <c r="G191">
        <v>964.90260000000001</v>
      </c>
    </row>
    <row r="192" spans="1:7" x14ac:dyDescent="0.3">
      <c r="A192" t="s">
        <v>212</v>
      </c>
      <c r="B192">
        <v>1</v>
      </c>
      <c r="C192" t="s">
        <v>382</v>
      </c>
      <c r="D192" t="s">
        <v>9</v>
      </c>
      <c r="E192" t="str">
        <f>IF(ISNUMBER(SEARCH("Brain",Table1[[#This Row],[ROI]],1)),"Brain",IF(ISNUMBER(SEARCH("Muscle",Table1[[#This Row],[ROI]],1)),"Muscle","Noise"))</f>
        <v>Noise</v>
      </c>
      <c r="F192">
        <v>823.71429999999998</v>
      </c>
      <c r="G192">
        <v>176.2003</v>
      </c>
    </row>
    <row r="193" spans="1:7" x14ac:dyDescent="0.3">
      <c r="A193" t="s">
        <v>213</v>
      </c>
      <c r="B193">
        <v>1</v>
      </c>
      <c r="C193" t="s">
        <v>382</v>
      </c>
      <c r="D193" t="s">
        <v>10</v>
      </c>
      <c r="E193" t="str">
        <f>IF(ISNUMBER(SEARCH("Brain",Table1[[#This Row],[ROI]],1)),"Brain",IF(ISNUMBER(SEARCH("Muscle",Table1[[#This Row],[ROI]],1)),"Muscle","Noise"))</f>
        <v>Noise</v>
      </c>
      <c r="F193">
        <v>919.52779999999996</v>
      </c>
      <c r="G193">
        <v>211.75470000000001</v>
      </c>
    </row>
    <row r="194" spans="1:7" x14ac:dyDescent="0.3">
      <c r="A194" t="s">
        <v>214</v>
      </c>
      <c r="B194">
        <v>1</v>
      </c>
      <c r="C194" t="s">
        <v>382</v>
      </c>
      <c r="D194" t="s">
        <v>11</v>
      </c>
      <c r="E194" t="str">
        <f>IF(ISNUMBER(SEARCH("Brain",Table1[[#This Row],[ROI]],1)),"Brain",IF(ISNUMBER(SEARCH("Muscle",Table1[[#This Row],[ROI]],1)),"Muscle","Noise"))</f>
        <v>Noise</v>
      </c>
      <c r="F194">
        <v>827.90380000000005</v>
      </c>
      <c r="G194">
        <v>230.9101</v>
      </c>
    </row>
    <row r="195" spans="1:7" x14ac:dyDescent="0.3">
      <c r="A195" t="s">
        <v>215</v>
      </c>
      <c r="B195">
        <v>1</v>
      </c>
      <c r="C195" t="s">
        <v>382</v>
      </c>
      <c r="D195" t="s">
        <v>12</v>
      </c>
      <c r="E195" t="str">
        <f>IF(ISNUMBER(SEARCH("Brain",Table1[[#This Row],[ROI]],1)),"Brain",IF(ISNUMBER(SEARCH("Muscle",Table1[[#This Row],[ROI]],1)),"Muscle","Noise"))</f>
        <v>Noise</v>
      </c>
      <c r="F195">
        <v>832.77380000000005</v>
      </c>
      <c r="G195">
        <v>233.7433</v>
      </c>
    </row>
    <row r="196" spans="1:7" x14ac:dyDescent="0.3">
      <c r="A196" t="s">
        <v>216</v>
      </c>
      <c r="B196">
        <v>1</v>
      </c>
      <c r="C196" t="s">
        <v>382</v>
      </c>
      <c r="D196" t="s">
        <v>198</v>
      </c>
      <c r="E196" t="str">
        <f>IF(ISNUMBER(SEARCH("Brain",Table1[[#This Row],[ROI]],1)),"Brain",IF(ISNUMBER(SEARCH("Muscle",Table1[[#This Row],[ROI]],1)),"Muscle","Noise"))</f>
        <v>Noise</v>
      </c>
      <c r="F196">
        <v>891.79880000000003</v>
      </c>
      <c r="G196">
        <v>229.56020000000001</v>
      </c>
    </row>
    <row r="197" spans="1:7" x14ac:dyDescent="0.3">
      <c r="A197" t="s">
        <v>217</v>
      </c>
      <c r="B197">
        <v>2</v>
      </c>
      <c r="C197" t="s">
        <v>382</v>
      </c>
      <c r="D197" t="s">
        <v>2</v>
      </c>
      <c r="E197" t="str">
        <f>IF(ISNUMBER(SEARCH("Brain",Table1[[#This Row],[ROI]],1)),"Brain",IF(ISNUMBER(SEARCH("Muscle",Table1[[#This Row],[ROI]],1)),"Muscle","Noise"))</f>
        <v>Brain</v>
      </c>
      <c r="F197">
        <v>6021.6014999999998</v>
      </c>
      <c r="G197">
        <v>984.149</v>
      </c>
    </row>
    <row r="198" spans="1:7" x14ac:dyDescent="0.3">
      <c r="A198" t="s">
        <v>218</v>
      </c>
      <c r="B198">
        <v>2</v>
      </c>
      <c r="C198" t="s">
        <v>382</v>
      </c>
      <c r="D198" t="s">
        <v>3</v>
      </c>
      <c r="E198" t="str">
        <f>IF(ISNUMBER(SEARCH("Brain",Table1[[#This Row],[ROI]],1)),"Brain",IF(ISNUMBER(SEARCH("Muscle",Table1[[#This Row],[ROI]],1)),"Muscle","Noise"))</f>
        <v>Brain</v>
      </c>
      <c r="F198">
        <v>6469.5654999999997</v>
      </c>
      <c r="G198">
        <v>796.22339999999997</v>
      </c>
    </row>
    <row r="199" spans="1:7" x14ac:dyDescent="0.3">
      <c r="A199" t="s">
        <v>219</v>
      </c>
      <c r="B199">
        <v>2</v>
      </c>
      <c r="C199" t="s">
        <v>382</v>
      </c>
      <c r="D199" t="s">
        <v>4</v>
      </c>
      <c r="E199" t="str">
        <f>IF(ISNUMBER(SEARCH("Brain",Table1[[#This Row],[ROI]],1)),"Brain",IF(ISNUMBER(SEARCH("Muscle",Table1[[#This Row],[ROI]],1)),"Muscle","Noise"))</f>
        <v>Brain</v>
      </c>
      <c r="F199">
        <v>6280.2417999999998</v>
      </c>
      <c r="G199">
        <v>742.37739999999997</v>
      </c>
    </row>
    <row r="200" spans="1:7" x14ac:dyDescent="0.3">
      <c r="A200" t="s">
        <v>220</v>
      </c>
      <c r="B200">
        <v>2</v>
      </c>
      <c r="C200" t="s">
        <v>382</v>
      </c>
      <c r="D200" t="s">
        <v>5</v>
      </c>
      <c r="E200" t="str">
        <f>IF(ISNUMBER(SEARCH("Brain",Table1[[#This Row],[ROI]],1)),"Brain",IF(ISNUMBER(SEARCH("Muscle",Table1[[#This Row],[ROI]],1)),"Muscle","Noise"))</f>
        <v>Brain</v>
      </c>
      <c r="F200">
        <v>6336.3060999999998</v>
      </c>
      <c r="G200">
        <v>668.3048</v>
      </c>
    </row>
    <row r="201" spans="1:7" x14ac:dyDescent="0.3">
      <c r="A201" t="s">
        <v>221</v>
      </c>
      <c r="B201">
        <v>2</v>
      </c>
      <c r="C201" t="s">
        <v>382</v>
      </c>
      <c r="D201" t="s">
        <v>6</v>
      </c>
      <c r="E201" t="str">
        <f>IF(ISNUMBER(SEARCH("Brain",Table1[[#This Row],[ROI]],1)),"Brain",IF(ISNUMBER(SEARCH("Muscle",Table1[[#This Row],[ROI]],1)),"Muscle","Noise"))</f>
        <v>Brain</v>
      </c>
      <c r="F201">
        <v>6553.4521000000004</v>
      </c>
      <c r="G201">
        <v>1589.4816000000001</v>
      </c>
    </row>
    <row r="202" spans="1:7" x14ac:dyDescent="0.3">
      <c r="A202" t="s">
        <v>222</v>
      </c>
      <c r="B202">
        <v>2</v>
      </c>
      <c r="C202" t="s">
        <v>382</v>
      </c>
      <c r="D202" t="s">
        <v>7</v>
      </c>
      <c r="E202" t="str">
        <f>IF(ISNUMBER(SEARCH("Brain",Table1[[#This Row],[ROI]],1)),"Brain",IF(ISNUMBER(SEARCH("Muscle",Table1[[#This Row],[ROI]],1)),"Muscle","Noise"))</f>
        <v>Muscle</v>
      </c>
      <c r="F202">
        <v>3721.8788</v>
      </c>
      <c r="G202">
        <v>716.58849999999995</v>
      </c>
    </row>
    <row r="203" spans="1:7" x14ac:dyDescent="0.3">
      <c r="A203" t="s">
        <v>223</v>
      </c>
      <c r="B203">
        <v>2</v>
      </c>
      <c r="C203" t="s">
        <v>382</v>
      </c>
      <c r="D203" t="s">
        <v>8</v>
      </c>
      <c r="E203" t="str">
        <f>IF(ISNUMBER(SEARCH("Brain",Table1[[#This Row],[ROI]],1)),"Brain",IF(ISNUMBER(SEARCH("Muscle",Table1[[#This Row],[ROI]],1)),"Muscle","Noise"))</f>
        <v>Muscle</v>
      </c>
      <c r="F203">
        <v>2831.3755999999998</v>
      </c>
      <c r="G203">
        <v>1250.4064000000001</v>
      </c>
    </row>
    <row r="204" spans="1:7" x14ac:dyDescent="0.3">
      <c r="A204" t="s">
        <v>224</v>
      </c>
      <c r="B204">
        <v>2</v>
      </c>
      <c r="C204" t="s">
        <v>382</v>
      </c>
      <c r="D204" t="s">
        <v>195</v>
      </c>
      <c r="E204" t="str">
        <f>IF(ISNUMBER(SEARCH("Brain",Table1[[#This Row],[ROI]],1)),"Brain",IF(ISNUMBER(SEARCH("Muscle",Table1[[#This Row],[ROI]],1)),"Muscle","Noise"))</f>
        <v>Muscle</v>
      </c>
      <c r="F204">
        <v>3951.4097000000002</v>
      </c>
      <c r="G204">
        <v>529.40549999999996</v>
      </c>
    </row>
    <row r="205" spans="1:7" x14ac:dyDescent="0.3">
      <c r="A205" t="s">
        <v>225</v>
      </c>
      <c r="B205">
        <v>2</v>
      </c>
      <c r="C205" t="s">
        <v>382</v>
      </c>
      <c r="D205" t="s">
        <v>196</v>
      </c>
      <c r="E205" t="str">
        <f>IF(ISNUMBER(SEARCH("Brain",Table1[[#This Row],[ROI]],1)),"Brain",IF(ISNUMBER(SEARCH("Muscle",Table1[[#This Row],[ROI]],1)),"Muscle","Noise"))</f>
        <v>Muscle</v>
      </c>
      <c r="F205">
        <v>4188.2839999999997</v>
      </c>
      <c r="G205">
        <v>372.43860000000001</v>
      </c>
    </row>
    <row r="206" spans="1:7" x14ac:dyDescent="0.3">
      <c r="A206" t="s">
        <v>226</v>
      </c>
      <c r="B206">
        <v>2</v>
      </c>
      <c r="C206" t="s">
        <v>382</v>
      </c>
      <c r="D206" t="s">
        <v>197</v>
      </c>
      <c r="E206" t="str">
        <f>IF(ISNUMBER(SEARCH("Brain",Table1[[#This Row],[ROI]],1)),"Brain",IF(ISNUMBER(SEARCH("Muscle",Table1[[#This Row],[ROI]],1)),"Muscle","Noise"))</f>
        <v>Muscle</v>
      </c>
      <c r="F206">
        <v>4108.1629999999996</v>
      </c>
      <c r="G206">
        <v>624.23530000000005</v>
      </c>
    </row>
    <row r="207" spans="1:7" x14ac:dyDescent="0.3">
      <c r="A207" t="s">
        <v>227</v>
      </c>
      <c r="B207">
        <v>2</v>
      </c>
      <c r="C207" t="s">
        <v>382</v>
      </c>
      <c r="D207" t="s">
        <v>9</v>
      </c>
      <c r="E207" t="str">
        <f>IF(ISNUMBER(SEARCH("Brain",Table1[[#This Row],[ROI]],1)),"Brain",IF(ISNUMBER(SEARCH("Muscle",Table1[[#This Row],[ROI]],1)),"Muscle","Noise"))</f>
        <v>Noise</v>
      </c>
      <c r="F207">
        <v>848.13329999999996</v>
      </c>
      <c r="G207">
        <v>245.81309999999999</v>
      </c>
    </row>
    <row r="208" spans="1:7" x14ac:dyDescent="0.3">
      <c r="A208" t="s">
        <v>228</v>
      </c>
      <c r="B208">
        <v>2</v>
      </c>
      <c r="C208" t="s">
        <v>382</v>
      </c>
      <c r="D208" t="s">
        <v>10</v>
      </c>
      <c r="E208" t="str">
        <f>IF(ISNUMBER(SEARCH("Brain",Table1[[#This Row],[ROI]],1)),"Brain",IF(ISNUMBER(SEARCH("Muscle",Table1[[#This Row],[ROI]],1)),"Muscle","Noise"))</f>
        <v>Noise</v>
      </c>
      <c r="F208">
        <v>874.42460000000005</v>
      </c>
      <c r="G208">
        <v>277.93970000000002</v>
      </c>
    </row>
    <row r="209" spans="1:7" x14ac:dyDescent="0.3">
      <c r="A209" t="s">
        <v>229</v>
      </c>
      <c r="B209">
        <v>2</v>
      </c>
      <c r="C209" t="s">
        <v>382</v>
      </c>
      <c r="D209" t="s">
        <v>11</v>
      </c>
      <c r="E209" t="str">
        <f>IF(ISNUMBER(SEARCH("Brain",Table1[[#This Row],[ROI]],1)),"Brain",IF(ISNUMBER(SEARCH("Muscle",Table1[[#This Row],[ROI]],1)),"Muscle","Noise"))</f>
        <v>Noise</v>
      </c>
      <c r="F209">
        <v>873.39089999999999</v>
      </c>
      <c r="G209">
        <v>259.13150000000002</v>
      </c>
    </row>
    <row r="210" spans="1:7" x14ac:dyDescent="0.3">
      <c r="A210" t="s">
        <v>230</v>
      </c>
      <c r="B210">
        <v>2</v>
      </c>
      <c r="C210" t="s">
        <v>382</v>
      </c>
      <c r="D210" t="s">
        <v>12</v>
      </c>
      <c r="E210" t="str">
        <f>IF(ISNUMBER(SEARCH("Brain",Table1[[#This Row],[ROI]],1)),"Brain",IF(ISNUMBER(SEARCH("Muscle",Table1[[#This Row],[ROI]],1)),"Muscle","Noise"))</f>
        <v>Noise</v>
      </c>
      <c r="F210">
        <v>1684.3273999999999</v>
      </c>
      <c r="G210">
        <v>457.17290000000003</v>
      </c>
    </row>
    <row r="211" spans="1:7" x14ac:dyDescent="0.3">
      <c r="A211" t="s">
        <v>231</v>
      </c>
      <c r="B211">
        <v>2</v>
      </c>
      <c r="C211" t="s">
        <v>382</v>
      </c>
      <c r="D211" t="s">
        <v>198</v>
      </c>
      <c r="E211" t="str">
        <f>IF(ISNUMBER(SEARCH("Brain",Table1[[#This Row],[ROI]],1)),"Brain",IF(ISNUMBER(SEARCH("Muscle",Table1[[#This Row],[ROI]],1)),"Muscle","Noise"))</f>
        <v>Noise</v>
      </c>
      <c r="F211">
        <v>875.81659999999999</v>
      </c>
      <c r="G211">
        <v>284.65969999999999</v>
      </c>
    </row>
    <row r="212" spans="1:7" x14ac:dyDescent="0.3">
      <c r="A212" t="s">
        <v>232</v>
      </c>
      <c r="B212">
        <v>3</v>
      </c>
      <c r="C212" t="s">
        <v>382</v>
      </c>
      <c r="D212" t="s">
        <v>2</v>
      </c>
      <c r="E212" t="str">
        <f>IF(ISNUMBER(SEARCH("Brain",Table1[[#This Row],[ROI]],1)),"Brain",IF(ISNUMBER(SEARCH("Muscle",Table1[[#This Row],[ROI]],1)),"Muscle","Noise"))</f>
        <v>Brain</v>
      </c>
      <c r="F212">
        <v>6175.8023999999996</v>
      </c>
      <c r="G212">
        <v>1057.6976999999999</v>
      </c>
    </row>
    <row r="213" spans="1:7" x14ac:dyDescent="0.3">
      <c r="A213" t="s">
        <v>233</v>
      </c>
      <c r="B213">
        <v>3</v>
      </c>
      <c r="C213" t="s">
        <v>382</v>
      </c>
      <c r="D213" t="s">
        <v>3</v>
      </c>
      <c r="E213" t="str">
        <f>IF(ISNUMBER(SEARCH("Brain",Table1[[#This Row],[ROI]],1)),"Brain",IF(ISNUMBER(SEARCH("Muscle",Table1[[#This Row],[ROI]],1)),"Muscle","Noise"))</f>
        <v>Brain</v>
      </c>
      <c r="F213">
        <v>7203.1454999999996</v>
      </c>
      <c r="G213">
        <v>910.95709999999997</v>
      </c>
    </row>
    <row r="214" spans="1:7" x14ac:dyDescent="0.3">
      <c r="A214" t="s">
        <v>234</v>
      </c>
      <c r="B214">
        <v>3</v>
      </c>
      <c r="C214" t="s">
        <v>382</v>
      </c>
      <c r="D214" t="s">
        <v>4</v>
      </c>
      <c r="E214" t="str">
        <f>IF(ISNUMBER(SEARCH("Brain",Table1[[#This Row],[ROI]],1)),"Brain",IF(ISNUMBER(SEARCH("Muscle",Table1[[#This Row],[ROI]],1)),"Muscle","Noise"))</f>
        <v>Brain</v>
      </c>
      <c r="F214">
        <v>7359.2915000000003</v>
      </c>
      <c r="G214">
        <v>793.47500000000002</v>
      </c>
    </row>
    <row r="215" spans="1:7" x14ac:dyDescent="0.3">
      <c r="A215" t="s">
        <v>235</v>
      </c>
      <c r="B215">
        <v>3</v>
      </c>
      <c r="C215" t="s">
        <v>382</v>
      </c>
      <c r="D215" t="s">
        <v>5</v>
      </c>
      <c r="E215" t="str">
        <f>IF(ISNUMBER(SEARCH("Brain",Table1[[#This Row],[ROI]],1)),"Brain",IF(ISNUMBER(SEARCH("Muscle",Table1[[#This Row],[ROI]],1)),"Muscle","Noise"))</f>
        <v>Brain</v>
      </c>
      <c r="F215">
        <v>7424.4679999999998</v>
      </c>
      <c r="G215">
        <v>722.10530000000006</v>
      </c>
    </row>
    <row r="216" spans="1:7" x14ac:dyDescent="0.3">
      <c r="A216" t="s">
        <v>236</v>
      </c>
      <c r="B216">
        <v>3</v>
      </c>
      <c r="C216" t="s">
        <v>382</v>
      </c>
      <c r="D216" t="s">
        <v>6</v>
      </c>
      <c r="E216" t="str">
        <f>IF(ISNUMBER(SEARCH("Brain",Table1[[#This Row],[ROI]],1)),"Brain",IF(ISNUMBER(SEARCH("Muscle",Table1[[#This Row],[ROI]],1)),"Muscle","Noise"))</f>
        <v>Brain</v>
      </c>
      <c r="F216">
        <v>7463.4660999999996</v>
      </c>
      <c r="G216">
        <v>1506.0862</v>
      </c>
    </row>
    <row r="217" spans="1:7" x14ac:dyDescent="0.3">
      <c r="A217" t="s">
        <v>237</v>
      </c>
      <c r="B217">
        <v>3</v>
      </c>
      <c r="C217" t="s">
        <v>382</v>
      </c>
      <c r="D217" t="s">
        <v>7</v>
      </c>
      <c r="E217" t="str">
        <f>IF(ISNUMBER(SEARCH("Brain",Table1[[#This Row],[ROI]],1)),"Brain",IF(ISNUMBER(SEARCH("Muscle",Table1[[#This Row],[ROI]],1)),"Muscle","Noise"))</f>
        <v>Muscle</v>
      </c>
      <c r="F217">
        <v>4469.5091000000002</v>
      </c>
      <c r="G217">
        <v>1035.6181999999999</v>
      </c>
    </row>
    <row r="218" spans="1:7" x14ac:dyDescent="0.3">
      <c r="A218" t="s">
        <v>238</v>
      </c>
      <c r="B218">
        <v>3</v>
      </c>
      <c r="C218" t="s">
        <v>382</v>
      </c>
      <c r="D218" t="s">
        <v>8</v>
      </c>
      <c r="E218" t="str">
        <f>IF(ISNUMBER(SEARCH("Brain",Table1[[#This Row],[ROI]],1)),"Brain",IF(ISNUMBER(SEARCH("Muscle",Table1[[#This Row],[ROI]],1)),"Muscle","Noise"))</f>
        <v>Muscle</v>
      </c>
      <c r="F218">
        <v>3766.3348000000001</v>
      </c>
      <c r="G218">
        <v>1400.5518</v>
      </c>
    </row>
    <row r="219" spans="1:7" x14ac:dyDescent="0.3">
      <c r="A219" t="s">
        <v>239</v>
      </c>
      <c r="B219">
        <v>3</v>
      </c>
      <c r="C219" t="s">
        <v>382</v>
      </c>
      <c r="D219" t="s">
        <v>195</v>
      </c>
      <c r="E219" t="str">
        <f>IF(ISNUMBER(SEARCH("Brain",Table1[[#This Row],[ROI]],1)),"Brain",IF(ISNUMBER(SEARCH("Muscle",Table1[[#This Row],[ROI]],1)),"Muscle","Noise"))</f>
        <v>Muscle</v>
      </c>
      <c r="F219">
        <v>4592.3402999999998</v>
      </c>
      <c r="G219">
        <v>577.49649999999997</v>
      </c>
    </row>
    <row r="220" spans="1:7" x14ac:dyDescent="0.3">
      <c r="A220" t="s">
        <v>240</v>
      </c>
      <c r="B220">
        <v>3</v>
      </c>
      <c r="C220" t="s">
        <v>382</v>
      </c>
      <c r="D220" t="s">
        <v>196</v>
      </c>
      <c r="E220" t="str">
        <f>IF(ISNUMBER(SEARCH("Brain",Table1[[#This Row],[ROI]],1)),"Brain",IF(ISNUMBER(SEARCH("Muscle",Table1[[#This Row],[ROI]],1)),"Muscle","Noise"))</f>
        <v>Muscle</v>
      </c>
      <c r="F220">
        <v>4552.0532999999996</v>
      </c>
      <c r="G220">
        <v>557.84050000000002</v>
      </c>
    </row>
    <row r="221" spans="1:7" x14ac:dyDescent="0.3">
      <c r="A221" t="s">
        <v>241</v>
      </c>
      <c r="B221">
        <v>3</v>
      </c>
      <c r="C221" t="s">
        <v>382</v>
      </c>
      <c r="D221" t="s">
        <v>197</v>
      </c>
      <c r="E221" t="str">
        <f>IF(ISNUMBER(SEARCH("Brain",Table1[[#This Row],[ROI]],1)),"Brain",IF(ISNUMBER(SEARCH("Muscle",Table1[[#This Row],[ROI]],1)),"Muscle","Noise"))</f>
        <v>Muscle</v>
      </c>
      <c r="F221">
        <v>4567.2222000000002</v>
      </c>
      <c r="G221">
        <v>642.91589999999997</v>
      </c>
    </row>
    <row r="222" spans="1:7" x14ac:dyDescent="0.3">
      <c r="A222" t="s">
        <v>242</v>
      </c>
      <c r="B222">
        <v>3</v>
      </c>
      <c r="C222" t="s">
        <v>382</v>
      </c>
      <c r="D222" t="s">
        <v>9</v>
      </c>
      <c r="E222" t="str">
        <f>IF(ISNUMBER(SEARCH("Brain",Table1[[#This Row],[ROI]],1)),"Brain",IF(ISNUMBER(SEARCH("Muscle",Table1[[#This Row],[ROI]],1)),"Muscle","Noise"))</f>
        <v>Noise</v>
      </c>
      <c r="F222">
        <v>884.18100000000004</v>
      </c>
      <c r="G222">
        <v>145.33959999999999</v>
      </c>
    </row>
    <row r="223" spans="1:7" x14ac:dyDescent="0.3">
      <c r="A223" t="s">
        <v>243</v>
      </c>
      <c r="B223">
        <v>3</v>
      </c>
      <c r="C223" t="s">
        <v>382</v>
      </c>
      <c r="D223" t="s">
        <v>10</v>
      </c>
      <c r="E223" t="str">
        <f>IF(ISNUMBER(SEARCH("Brain",Table1[[#This Row],[ROI]],1)),"Brain",IF(ISNUMBER(SEARCH("Muscle",Table1[[#This Row],[ROI]],1)),"Muscle","Noise"))</f>
        <v>Noise</v>
      </c>
      <c r="F223">
        <v>882.96429999999998</v>
      </c>
      <c r="G223">
        <v>181.09460000000001</v>
      </c>
    </row>
    <row r="224" spans="1:7" x14ac:dyDescent="0.3">
      <c r="A224" t="s">
        <v>244</v>
      </c>
      <c r="B224">
        <v>3</v>
      </c>
      <c r="C224" t="s">
        <v>382</v>
      </c>
      <c r="D224" t="s">
        <v>11</v>
      </c>
      <c r="E224" t="str">
        <f>IF(ISNUMBER(SEARCH("Brain",Table1[[#This Row],[ROI]],1)),"Brain",IF(ISNUMBER(SEARCH("Muscle",Table1[[#This Row],[ROI]],1)),"Muscle","Noise"))</f>
        <v>Noise</v>
      </c>
      <c r="F224">
        <v>868.2817</v>
      </c>
      <c r="G224">
        <v>168.36850000000001</v>
      </c>
    </row>
    <row r="225" spans="1:7" x14ac:dyDescent="0.3">
      <c r="A225" t="s">
        <v>245</v>
      </c>
      <c r="B225">
        <v>3</v>
      </c>
      <c r="C225" t="s">
        <v>382</v>
      </c>
      <c r="D225" t="s">
        <v>12</v>
      </c>
      <c r="E225" t="str">
        <f>IF(ISNUMBER(SEARCH("Brain",Table1[[#This Row],[ROI]],1)),"Brain",IF(ISNUMBER(SEARCH("Muscle",Table1[[#This Row],[ROI]],1)),"Muscle","Noise"))</f>
        <v>Noise</v>
      </c>
      <c r="F225">
        <v>846.95830000000001</v>
      </c>
      <c r="G225">
        <v>181.10130000000001</v>
      </c>
    </row>
    <row r="226" spans="1:7" x14ac:dyDescent="0.3">
      <c r="A226" t="s">
        <v>246</v>
      </c>
      <c r="B226">
        <v>3</v>
      </c>
      <c r="C226" t="s">
        <v>382</v>
      </c>
      <c r="D226" t="s">
        <v>198</v>
      </c>
      <c r="E226" t="str">
        <f>IF(ISNUMBER(SEARCH("Brain",Table1[[#This Row],[ROI]],1)),"Brain",IF(ISNUMBER(SEARCH("Muscle",Table1[[#This Row],[ROI]],1)),"Muscle","Noise"))</f>
        <v>Noise</v>
      </c>
      <c r="F226">
        <v>862.52070000000003</v>
      </c>
      <c r="G226">
        <v>169.5849</v>
      </c>
    </row>
    <row r="227" spans="1:7" x14ac:dyDescent="0.3">
      <c r="A227" t="s">
        <v>247</v>
      </c>
      <c r="B227">
        <v>4</v>
      </c>
      <c r="C227" t="s">
        <v>382</v>
      </c>
      <c r="D227" t="s">
        <v>2</v>
      </c>
      <c r="E227" t="str">
        <f>IF(ISNUMBER(SEARCH("Brain",Table1[[#This Row],[ROI]],1)),"Brain",IF(ISNUMBER(SEARCH("Muscle",Table1[[#This Row],[ROI]],1)),"Muscle","Noise"))</f>
        <v>Brain</v>
      </c>
      <c r="F227">
        <v>6268.3270000000002</v>
      </c>
      <c r="G227">
        <v>1064.9179999999999</v>
      </c>
    </row>
    <row r="228" spans="1:7" x14ac:dyDescent="0.3">
      <c r="A228" t="s">
        <v>248</v>
      </c>
      <c r="B228">
        <v>4</v>
      </c>
      <c r="C228" t="s">
        <v>382</v>
      </c>
      <c r="D228" t="s">
        <v>3</v>
      </c>
      <c r="E228" t="str">
        <f>IF(ISNUMBER(SEARCH("Brain",Table1[[#This Row],[ROI]],1)),"Brain",IF(ISNUMBER(SEARCH("Muscle",Table1[[#This Row],[ROI]],1)),"Muscle","Noise"))</f>
        <v>Brain</v>
      </c>
      <c r="F228">
        <v>6821.7487000000001</v>
      </c>
      <c r="G228">
        <v>826.37519999999995</v>
      </c>
    </row>
    <row r="229" spans="1:7" x14ac:dyDescent="0.3">
      <c r="A229" t="s">
        <v>249</v>
      </c>
      <c r="B229">
        <v>4</v>
      </c>
      <c r="C229" t="s">
        <v>382</v>
      </c>
      <c r="D229" t="s">
        <v>4</v>
      </c>
      <c r="E229" t="str">
        <f>IF(ISNUMBER(SEARCH("Brain",Table1[[#This Row],[ROI]],1)),"Brain",IF(ISNUMBER(SEARCH("Muscle",Table1[[#This Row],[ROI]],1)),"Muscle","Noise"))</f>
        <v>Brain</v>
      </c>
      <c r="F229">
        <v>6705.8335999999999</v>
      </c>
      <c r="G229">
        <v>766.09649999999999</v>
      </c>
    </row>
    <row r="230" spans="1:7" x14ac:dyDescent="0.3">
      <c r="A230" t="s">
        <v>250</v>
      </c>
      <c r="B230">
        <v>4</v>
      </c>
      <c r="C230" t="s">
        <v>382</v>
      </c>
      <c r="D230" t="s">
        <v>5</v>
      </c>
      <c r="E230" t="str">
        <f>IF(ISNUMBER(SEARCH("Brain",Table1[[#This Row],[ROI]],1)),"Brain",IF(ISNUMBER(SEARCH("Muscle",Table1[[#This Row],[ROI]],1)),"Muscle","Noise"))</f>
        <v>Brain</v>
      </c>
      <c r="F230">
        <v>6836.9327999999996</v>
      </c>
      <c r="G230">
        <v>686.745</v>
      </c>
    </row>
    <row r="231" spans="1:7" x14ac:dyDescent="0.3">
      <c r="A231" t="s">
        <v>251</v>
      </c>
      <c r="B231">
        <v>4</v>
      </c>
      <c r="C231" t="s">
        <v>382</v>
      </c>
      <c r="D231" t="s">
        <v>6</v>
      </c>
      <c r="E231" t="str">
        <f>IF(ISNUMBER(SEARCH("Brain",Table1[[#This Row],[ROI]],1)),"Brain",IF(ISNUMBER(SEARCH("Muscle",Table1[[#This Row],[ROI]],1)),"Muscle","Noise"))</f>
        <v>Brain</v>
      </c>
      <c r="F231">
        <v>6888.9290000000001</v>
      </c>
      <c r="G231">
        <v>1358.1319000000001</v>
      </c>
    </row>
    <row r="232" spans="1:7" x14ac:dyDescent="0.3">
      <c r="A232" t="s">
        <v>252</v>
      </c>
      <c r="B232">
        <v>4</v>
      </c>
      <c r="C232" t="s">
        <v>382</v>
      </c>
      <c r="D232" t="s">
        <v>7</v>
      </c>
      <c r="E232" t="str">
        <f>IF(ISNUMBER(SEARCH("Brain",Table1[[#This Row],[ROI]],1)),"Brain",IF(ISNUMBER(SEARCH("Muscle",Table1[[#This Row],[ROI]],1)),"Muscle","Noise"))</f>
        <v>Muscle</v>
      </c>
      <c r="F232">
        <v>3912.8060999999998</v>
      </c>
      <c r="G232">
        <v>1072.7932000000001</v>
      </c>
    </row>
    <row r="233" spans="1:7" x14ac:dyDescent="0.3">
      <c r="A233" t="s">
        <v>253</v>
      </c>
      <c r="B233">
        <v>4</v>
      </c>
      <c r="C233" t="s">
        <v>382</v>
      </c>
      <c r="D233" t="s">
        <v>8</v>
      </c>
      <c r="E233" t="str">
        <f>IF(ISNUMBER(SEARCH("Brain",Table1[[#This Row],[ROI]],1)),"Brain",IF(ISNUMBER(SEARCH("Muscle",Table1[[#This Row],[ROI]],1)),"Muscle","Noise"))</f>
        <v>Muscle</v>
      </c>
      <c r="F233">
        <v>3681.6109000000001</v>
      </c>
      <c r="G233">
        <v>1396.2754</v>
      </c>
    </row>
    <row r="234" spans="1:7" x14ac:dyDescent="0.3">
      <c r="A234" t="s">
        <v>254</v>
      </c>
      <c r="B234">
        <v>4</v>
      </c>
      <c r="C234" t="s">
        <v>382</v>
      </c>
      <c r="D234" t="s">
        <v>195</v>
      </c>
      <c r="E234" t="str">
        <f>IF(ISNUMBER(SEARCH("Brain",Table1[[#This Row],[ROI]],1)),"Brain",IF(ISNUMBER(SEARCH("Muscle",Table1[[#This Row],[ROI]],1)),"Muscle","Noise"))</f>
        <v>Muscle</v>
      </c>
      <c r="F234">
        <v>4330.4097000000002</v>
      </c>
      <c r="G234">
        <v>747.75509999999997</v>
      </c>
    </row>
    <row r="235" spans="1:7" x14ac:dyDescent="0.3">
      <c r="A235" t="s">
        <v>255</v>
      </c>
      <c r="B235">
        <v>4</v>
      </c>
      <c r="C235" t="s">
        <v>382</v>
      </c>
      <c r="D235" t="s">
        <v>196</v>
      </c>
      <c r="E235" t="str">
        <f>IF(ISNUMBER(SEARCH("Brain",Table1[[#This Row],[ROI]],1)),"Brain",IF(ISNUMBER(SEARCH("Muscle",Table1[[#This Row],[ROI]],1)),"Muscle","Noise"))</f>
        <v>Muscle</v>
      </c>
      <c r="F235">
        <v>4271.5266000000001</v>
      </c>
      <c r="G235">
        <v>670.25639999999999</v>
      </c>
    </row>
    <row r="236" spans="1:7" x14ac:dyDescent="0.3">
      <c r="A236" t="s">
        <v>256</v>
      </c>
      <c r="B236">
        <v>4</v>
      </c>
      <c r="C236" t="s">
        <v>382</v>
      </c>
      <c r="D236" t="s">
        <v>197</v>
      </c>
      <c r="E236" t="str">
        <f>IF(ISNUMBER(SEARCH("Brain",Table1[[#This Row],[ROI]],1)),"Brain",IF(ISNUMBER(SEARCH("Muscle",Table1[[#This Row],[ROI]],1)),"Muscle","Noise"))</f>
        <v>Muscle</v>
      </c>
      <c r="F236">
        <v>4233.0906999999997</v>
      </c>
      <c r="G236">
        <v>943.2029</v>
      </c>
    </row>
    <row r="237" spans="1:7" x14ac:dyDescent="0.3">
      <c r="A237" t="s">
        <v>257</v>
      </c>
      <c r="B237">
        <v>4</v>
      </c>
      <c r="C237" t="s">
        <v>382</v>
      </c>
      <c r="D237" t="s">
        <v>9</v>
      </c>
      <c r="E237" t="str">
        <f>IF(ISNUMBER(SEARCH("Brain",Table1[[#This Row],[ROI]],1)),"Brain",IF(ISNUMBER(SEARCH("Muscle",Table1[[#This Row],[ROI]],1)),"Muscle","Noise"))</f>
        <v>Noise</v>
      </c>
      <c r="F237">
        <v>1290.4190000000001</v>
      </c>
      <c r="G237">
        <v>1282.3087</v>
      </c>
    </row>
    <row r="238" spans="1:7" x14ac:dyDescent="0.3">
      <c r="A238" t="s">
        <v>258</v>
      </c>
      <c r="B238">
        <v>4</v>
      </c>
      <c r="C238" t="s">
        <v>382</v>
      </c>
      <c r="D238" t="s">
        <v>10</v>
      </c>
      <c r="E238" t="str">
        <f>IF(ISNUMBER(SEARCH("Brain",Table1[[#This Row],[ROI]],1)),"Brain",IF(ISNUMBER(SEARCH("Muscle",Table1[[#This Row],[ROI]],1)),"Muscle","Noise"))</f>
        <v>Noise</v>
      </c>
      <c r="F238">
        <v>676</v>
      </c>
      <c r="G238">
        <v>164.3869</v>
      </c>
    </row>
    <row r="239" spans="1:7" x14ac:dyDescent="0.3">
      <c r="A239" t="s">
        <v>259</v>
      </c>
      <c r="B239">
        <v>4</v>
      </c>
      <c r="C239" t="s">
        <v>382</v>
      </c>
      <c r="D239" t="s">
        <v>11</v>
      </c>
      <c r="E239" t="str">
        <f>IF(ISNUMBER(SEARCH("Brain",Table1[[#This Row],[ROI]],1)),"Brain",IF(ISNUMBER(SEARCH("Muscle",Table1[[#This Row],[ROI]],1)),"Muscle","Noise"))</f>
        <v>Noise</v>
      </c>
      <c r="F239">
        <v>729.92160000000001</v>
      </c>
      <c r="G239">
        <v>218.8278</v>
      </c>
    </row>
    <row r="240" spans="1:7" x14ac:dyDescent="0.3">
      <c r="A240" t="s">
        <v>260</v>
      </c>
      <c r="B240">
        <v>4</v>
      </c>
      <c r="C240" t="s">
        <v>382</v>
      </c>
      <c r="D240" t="s">
        <v>12</v>
      </c>
      <c r="E240" t="str">
        <f>IF(ISNUMBER(SEARCH("Brain",Table1[[#This Row],[ROI]],1)),"Brain",IF(ISNUMBER(SEARCH("Muscle",Table1[[#This Row],[ROI]],1)),"Muscle","Noise"))</f>
        <v>Noise</v>
      </c>
      <c r="F240">
        <v>726.07140000000004</v>
      </c>
      <c r="G240">
        <v>186.74879999999999</v>
      </c>
    </row>
    <row r="241" spans="1:7" x14ac:dyDescent="0.3">
      <c r="A241" t="s">
        <v>261</v>
      </c>
      <c r="B241">
        <v>4</v>
      </c>
      <c r="C241" t="s">
        <v>382</v>
      </c>
      <c r="D241" t="s">
        <v>198</v>
      </c>
      <c r="E241" t="str">
        <f>IF(ISNUMBER(SEARCH("Brain",Table1[[#This Row],[ROI]],1)),"Brain",IF(ISNUMBER(SEARCH("Muscle",Table1[[#This Row],[ROI]],1)),"Muscle","Noise"))</f>
        <v>Noise</v>
      </c>
      <c r="F241">
        <v>1656.1360999999999</v>
      </c>
      <c r="G241">
        <v>1859.1765</v>
      </c>
    </row>
    <row r="242" spans="1:7" x14ac:dyDescent="0.3">
      <c r="A242" t="s">
        <v>262</v>
      </c>
      <c r="B242">
        <v>5</v>
      </c>
      <c r="C242" t="s">
        <v>382</v>
      </c>
      <c r="D242" t="s">
        <v>2</v>
      </c>
      <c r="E242" t="str">
        <f>IF(ISNUMBER(SEARCH("Brain",Table1[[#This Row],[ROI]],1)),"Brain",IF(ISNUMBER(SEARCH("Muscle",Table1[[#This Row],[ROI]],1)),"Muscle","Noise"))</f>
        <v>Brain</v>
      </c>
      <c r="F242">
        <v>8436.8436999999994</v>
      </c>
      <c r="G242">
        <v>1485.6208999999999</v>
      </c>
    </row>
    <row r="243" spans="1:7" x14ac:dyDescent="0.3">
      <c r="A243" t="s">
        <v>263</v>
      </c>
      <c r="B243">
        <v>5</v>
      </c>
      <c r="C243" t="s">
        <v>382</v>
      </c>
      <c r="D243" t="s">
        <v>3</v>
      </c>
      <c r="E243" t="str">
        <f>IF(ISNUMBER(SEARCH("Brain",Table1[[#This Row],[ROI]],1)),"Brain",IF(ISNUMBER(SEARCH("Muscle",Table1[[#This Row],[ROI]],1)),"Muscle","Noise"))</f>
        <v>Brain</v>
      </c>
      <c r="F243">
        <v>9174.7458999999999</v>
      </c>
      <c r="G243">
        <v>1006.7531</v>
      </c>
    </row>
    <row r="244" spans="1:7" x14ac:dyDescent="0.3">
      <c r="A244" t="s">
        <v>264</v>
      </c>
      <c r="B244">
        <v>5</v>
      </c>
      <c r="C244" t="s">
        <v>382</v>
      </c>
      <c r="D244" t="s">
        <v>4</v>
      </c>
      <c r="E244" t="str">
        <f>IF(ISNUMBER(SEARCH("Brain",Table1[[#This Row],[ROI]],1)),"Brain",IF(ISNUMBER(SEARCH("Muscle",Table1[[#This Row],[ROI]],1)),"Muscle","Noise"))</f>
        <v>Brain</v>
      </c>
      <c r="F244">
        <v>9008.6496000000006</v>
      </c>
      <c r="G244">
        <v>1049.67</v>
      </c>
    </row>
    <row r="245" spans="1:7" x14ac:dyDescent="0.3">
      <c r="A245" t="s">
        <v>265</v>
      </c>
      <c r="B245">
        <v>5</v>
      </c>
      <c r="C245" t="s">
        <v>382</v>
      </c>
      <c r="D245" t="s">
        <v>5</v>
      </c>
      <c r="E245" t="str">
        <f>IF(ISNUMBER(SEARCH("Brain",Table1[[#This Row],[ROI]],1)),"Brain",IF(ISNUMBER(SEARCH("Muscle",Table1[[#This Row],[ROI]],1)),"Muscle","Noise"))</f>
        <v>Brain</v>
      </c>
      <c r="F245">
        <v>8878.8744999999999</v>
      </c>
      <c r="G245">
        <v>784.44809999999995</v>
      </c>
    </row>
    <row r="246" spans="1:7" x14ac:dyDescent="0.3">
      <c r="A246" t="s">
        <v>266</v>
      </c>
      <c r="B246">
        <v>5</v>
      </c>
      <c r="C246" t="s">
        <v>382</v>
      </c>
      <c r="D246" t="s">
        <v>6</v>
      </c>
      <c r="E246" t="str">
        <f>IF(ISNUMBER(SEARCH("Brain",Table1[[#This Row],[ROI]],1)),"Brain",IF(ISNUMBER(SEARCH("Muscle",Table1[[#This Row],[ROI]],1)),"Muscle","Noise"))</f>
        <v>Brain</v>
      </c>
      <c r="F246">
        <v>9004.0005999999994</v>
      </c>
      <c r="G246">
        <v>1683.6744000000001</v>
      </c>
    </row>
    <row r="247" spans="1:7" x14ac:dyDescent="0.3">
      <c r="A247" t="s">
        <v>267</v>
      </c>
      <c r="B247">
        <v>5</v>
      </c>
      <c r="C247" t="s">
        <v>382</v>
      </c>
      <c r="D247" t="s">
        <v>7</v>
      </c>
      <c r="E247" t="str">
        <f>IF(ISNUMBER(SEARCH("Brain",Table1[[#This Row],[ROI]],1)),"Brain",IF(ISNUMBER(SEARCH("Muscle",Table1[[#This Row],[ROI]],1)),"Muscle","Noise"))</f>
        <v>Muscle</v>
      </c>
      <c r="F247">
        <v>6491.9394000000002</v>
      </c>
      <c r="G247">
        <v>1028.2634</v>
      </c>
    </row>
    <row r="248" spans="1:7" x14ac:dyDescent="0.3">
      <c r="A248" t="s">
        <v>268</v>
      </c>
      <c r="B248">
        <v>5</v>
      </c>
      <c r="C248" t="s">
        <v>382</v>
      </c>
      <c r="D248" t="s">
        <v>8</v>
      </c>
      <c r="E248" t="str">
        <f>IF(ISNUMBER(SEARCH("Brain",Table1[[#This Row],[ROI]],1)),"Brain",IF(ISNUMBER(SEARCH("Muscle",Table1[[#This Row],[ROI]],1)),"Muscle","Noise"))</f>
        <v>Muscle</v>
      </c>
      <c r="F248">
        <v>4594.1448</v>
      </c>
      <c r="G248">
        <v>1626.6206</v>
      </c>
    </row>
    <row r="249" spans="1:7" x14ac:dyDescent="0.3">
      <c r="A249" t="s">
        <v>269</v>
      </c>
      <c r="B249">
        <v>5</v>
      </c>
      <c r="C249" t="s">
        <v>382</v>
      </c>
      <c r="D249" t="s">
        <v>195</v>
      </c>
      <c r="E249" t="str">
        <f>IF(ISNUMBER(SEARCH("Brain",Table1[[#This Row],[ROI]],1)),"Brain",IF(ISNUMBER(SEARCH("Muscle",Table1[[#This Row],[ROI]],1)),"Muscle","Noise"))</f>
        <v>Muscle</v>
      </c>
      <c r="F249">
        <v>6512.7291999999998</v>
      </c>
      <c r="G249">
        <v>675.58069999999998</v>
      </c>
    </row>
    <row r="250" spans="1:7" x14ac:dyDescent="0.3">
      <c r="A250" t="s">
        <v>270</v>
      </c>
      <c r="B250">
        <v>5</v>
      </c>
      <c r="C250" t="s">
        <v>382</v>
      </c>
      <c r="D250" t="s">
        <v>196</v>
      </c>
      <c r="E250" t="str">
        <f>IF(ISNUMBER(SEARCH("Brain",Table1[[#This Row],[ROI]],1)),"Brain",IF(ISNUMBER(SEARCH("Muscle",Table1[[#This Row],[ROI]],1)),"Muscle","Noise"))</f>
        <v>Muscle</v>
      </c>
      <c r="F250">
        <v>5886.6981999999998</v>
      </c>
      <c r="G250">
        <v>1063.9879000000001</v>
      </c>
    </row>
    <row r="251" spans="1:7" x14ac:dyDescent="0.3">
      <c r="A251" t="s">
        <v>271</v>
      </c>
      <c r="B251">
        <v>5</v>
      </c>
      <c r="C251" t="s">
        <v>382</v>
      </c>
      <c r="D251" t="s">
        <v>197</v>
      </c>
      <c r="E251" t="str">
        <f>IF(ISNUMBER(SEARCH("Brain",Table1[[#This Row],[ROI]],1)),"Brain",IF(ISNUMBER(SEARCH("Muscle",Table1[[#This Row],[ROI]],1)),"Muscle","Noise"))</f>
        <v>Muscle</v>
      </c>
      <c r="F251">
        <v>6513.4943999999996</v>
      </c>
      <c r="G251">
        <v>1622.2814000000001</v>
      </c>
    </row>
    <row r="252" spans="1:7" x14ac:dyDescent="0.3">
      <c r="A252" t="s">
        <v>272</v>
      </c>
      <c r="B252">
        <v>5</v>
      </c>
      <c r="C252" t="s">
        <v>382</v>
      </c>
      <c r="D252" t="s">
        <v>9</v>
      </c>
      <c r="E252" t="str">
        <f>IF(ISNUMBER(SEARCH("Brain",Table1[[#This Row],[ROI]],1)),"Brain",IF(ISNUMBER(SEARCH("Muscle",Table1[[#This Row],[ROI]],1)),"Muscle","Noise"))</f>
        <v>Noise</v>
      </c>
      <c r="F252">
        <v>1293.1429000000001</v>
      </c>
      <c r="G252">
        <v>319.52170000000001</v>
      </c>
    </row>
    <row r="253" spans="1:7" x14ac:dyDescent="0.3">
      <c r="A253" t="s">
        <v>273</v>
      </c>
      <c r="B253">
        <v>5</v>
      </c>
      <c r="C253" t="s">
        <v>382</v>
      </c>
      <c r="D253" t="s">
        <v>10</v>
      </c>
      <c r="E253" t="str">
        <f>IF(ISNUMBER(SEARCH("Brain",Table1[[#This Row],[ROI]],1)),"Brain",IF(ISNUMBER(SEARCH("Muscle",Table1[[#This Row],[ROI]],1)),"Muscle","Noise"))</f>
        <v>Noise</v>
      </c>
      <c r="F253">
        <v>1163.9840999999999</v>
      </c>
      <c r="G253">
        <v>301.65730000000002</v>
      </c>
    </row>
    <row r="254" spans="1:7" x14ac:dyDescent="0.3">
      <c r="A254" t="s">
        <v>274</v>
      </c>
      <c r="B254">
        <v>5</v>
      </c>
      <c r="C254" t="s">
        <v>382</v>
      </c>
      <c r="D254" t="s">
        <v>11</v>
      </c>
      <c r="E254" t="str">
        <f>IF(ISNUMBER(SEARCH("Brain",Table1[[#This Row],[ROI]],1)),"Brain",IF(ISNUMBER(SEARCH("Muscle",Table1[[#This Row],[ROI]],1)),"Muscle","Noise"))</f>
        <v>Noise</v>
      </c>
      <c r="F254">
        <v>1319.4911</v>
      </c>
      <c r="G254">
        <v>429.64120000000003</v>
      </c>
    </row>
    <row r="255" spans="1:7" x14ac:dyDescent="0.3">
      <c r="A255" t="s">
        <v>275</v>
      </c>
      <c r="B255">
        <v>5</v>
      </c>
      <c r="C255" t="s">
        <v>382</v>
      </c>
      <c r="D255" t="s">
        <v>12</v>
      </c>
      <c r="E255" t="str">
        <f>IF(ISNUMBER(SEARCH("Brain",Table1[[#This Row],[ROI]],1)),"Brain",IF(ISNUMBER(SEARCH("Muscle",Table1[[#This Row],[ROI]],1)),"Muscle","Noise"))</f>
        <v>Noise</v>
      </c>
      <c r="F255">
        <v>1337.2619</v>
      </c>
      <c r="G255">
        <v>455.21929999999998</v>
      </c>
    </row>
    <row r="256" spans="1:7" x14ac:dyDescent="0.3">
      <c r="A256" t="s">
        <v>276</v>
      </c>
      <c r="B256">
        <v>5</v>
      </c>
      <c r="C256" t="s">
        <v>382</v>
      </c>
      <c r="D256" t="s">
        <v>198</v>
      </c>
      <c r="E256" t="str">
        <f>IF(ISNUMBER(SEARCH("Brain",Table1[[#This Row],[ROI]],1)),"Brain",IF(ISNUMBER(SEARCH("Muscle",Table1[[#This Row],[ROI]],1)),"Muscle","Noise"))</f>
        <v>Noise</v>
      </c>
      <c r="F256">
        <v>1215.8462</v>
      </c>
      <c r="G256">
        <v>363.8272</v>
      </c>
    </row>
    <row r="257" spans="1:7" x14ac:dyDescent="0.3">
      <c r="A257" t="s">
        <v>277</v>
      </c>
      <c r="B257">
        <v>6</v>
      </c>
      <c r="C257" t="s">
        <v>382</v>
      </c>
      <c r="D257" t="s">
        <v>2</v>
      </c>
      <c r="E257" t="str">
        <f>IF(ISNUMBER(SEARCH("Brain",Table1[[#This Row],[ROI]],1)),"Brain",IF(ISNUMBER(SEARCH("Muscle",Table1[[#This Row],[ROI]],1)),"Muscle","Noise"))</f>
        <v>Brain</v>
      </c>
      <c r="F257">
        <v>6569.9871000000003</v>
      </c>
      <c r="G257">
        <v>976.82079999999996</v>
      </c>
    </row>
    <row r="258" spans="1:7" x14ac:dyDescent="0.3">
      <c r="A258" t="s">
        <v>278</v>
      </c>
      <c r="B258">
        <v>6</v>
      </c>
      <c r="C258" t="s">
        <v>382</v>
      </c>
      <c r="D258" t="s">
        <v>3</v>
      </c>
      <c r="E258" t="str">
        <f>IF(ISNUMBER(SEARCH("Brain",Table1[[#This Row],[ROI]],1)),"Brain",IF(ISNUMBER(SEARCH("Muscle",Table1[[#This Row],[ROI]],1)),"Muscle","Noise"))</f>
        <v>Brain</v>
      </c>
      <c r="F258">
        <v>7140.1932999999999</v>
      </c>
      <c r="G258">
        <v>723.59680000000003</v>
      </c>
    </row>
    <row r="259" spans="1:7" x14ac:dyDescent="0.3">
      <c r="A259" t="s">
        <v>279</v>
      </c>
      <c r="B259">
        <v>6</v>
      </c>
      <c r="C259" t="s">
        <v>382</v>
      </c>
      <c r="D259" t="s">
        <v>4</v>
      </c>
      <c r="E259" t="str">
        <f>IF(ISNUMBER(SEARCH("Brain",Table1[[#This Row],[ROI]],1)),"Brain",IF(ISNUMBER(SEARCH("Muscle",Table1[[#This Row],[ROI]],1)),"Muscle","Noise"))</f>
        <v>Brain</v>
      </c>
      <c r="F259">
        <v>7034.7074000000002</v>
      </c>
      <c r="G259">
        <v>759.74959999999999</v>
      </c>
    </row>
    <row r="260" spans="1:7" x14ac:dyDescent="0.3">
      <c r="A260" t="s">
        <v>280</v>
      </c>
      <c r="B260">
        <v>6</v>
      </c>
      <c r="C260" t="s">
        <v>382</v>
      </c>
      <c r="D260" t="s">
        <v>5</v>
      </c>
      <c r="E260" t="str">
        <f>IF(ISNUMBER(SEARCH("Brain",Table1[[#This Row],[ROI]],1)),"Brain",IF(ISNUMBER(SEARCH("Muscle",Table1[[#This Row],[ROI]],1)),"Muscle","Noise"))</f>
        <v>Brain</v>
      </c>
      <c r="F260">
        <v>7002.1895999999997</v>
      </c>
      <c r="G260">
        <v>629.2319</v>
      </c>
    </row>
    <row r="261" spans="1:7" x14ac:dyDescent="0.3">
      <c r="A261" t="s">
        <v>281</v>
      </c>
      <c r="B261">
        <v>6</v>
      </c>
      <c r="C261" t="s">
        <v>382</v>
      </c>
      <c r="D261" t="s">
        <v>6</v>
      </c>
      <c r="E261" t="str">
        <f>IF(ISNUMBER(SEARCH("Brain",Table1[[#This Row],[ROI]],1)),"Brain",IF(ISNUMBER(SEARCH("Muscle",Table1[[#This Row],[ROI]],1)),"Muscle","Noise"))</f>
        <v>Brain</v>
      </c>
      <c r="F261">
        <v>7083.0994000000001</v>
      </c>
      <c r="G261">
        <v>1455.5759</v>
      </c>
    </row>
    <row r="262" spans="1:7" x14ac:dyDescent="0.3">
      <c r="A262" t="s">
        <v>282</v>
      </c>
      <c r="B262">
        <v>6</v>
      </c>
      <c r="C262" t="s">
        <v>382</v>
      </c>
      <c r="D262" t="s">
        <v>7</v>
      </c>
      <c r="E262" t="str">
        <f>IF(ISNUMBER(SEARCH("Brain",Table1[[#This Row],[ROI]],1)),"Brain",IF(ISNUMBER(SEARCH("Muscle",Table1[[#This Row],[ROI]],1)),"Muscle","Noise"))</f>
        <v>Muscle</v>
      </c>
      <c r="F262">
        <v>4877.5212000000001</v>
      </c>
      <c r="G262">
        <v>858.78309999999999</v>
      </c>
    </row>
    <row r="263" spans="1:7" x14ac:dyDescent="0.3">
      <c r="A263" t="s">
        <v>283</v>
      </c>
      <c r="B263">
        <v>6</v>
      </c>
      <c r="C263" t="s">
        <v>382</v>
      </c>
      <c r="D263" t="s">
        <v>8</v>
      </c>
      <c r="E263" t="str">
        <f>IF(ISNUMBER(SEARCH("Brain",Table1[[#This Row],[ROI]],1)),"Brain",IF(ISNUMBER(SEARCH("Muscle",Table1[[#This Row],[ROI]],1)),"Muscle","Noise"))</f>
        <v>Muscle</v>
      </c>
      <c r="F263">
        <v>4492.6153999999997</v>
      </c>
      <c r="G263">
        <v>1176.8616999999999</v>
      </c>
    </row>
    <row r="264" spans="1:7" x14ac:dyDescent="0.3">
      <c r="A264" t="s">
        <v>284</v>
      </c>
      <c r="B264">
        <v>6</v>
      </c>
      <c r="C264" t="s">
        <v>382</v>
      </c>
      <c r="D264" t="s">
        <v>195</v>
      </c>
      <c r="E264" t="str">
        <f>IF(ISNUMBER(SEARCH("Brain",Table1[[#This Row],[ROI]],1)),"Brain",IF(ISNUMBER(SEARCH("Muscle",Table1[[#This Row],[ROI]],1)),"Muscle","Noise"))</f>
        <v>Muscle</v>
      </c>
      <c r="F264">
        <v>4863.0069000000003</v>
      </c>
      <c r="G264">
        <v>479.68939999999998</v>
      </c>
    </row>
    <row r="265" spans="1:7" x14ac:dyDescent="0.3">
      <c r="A265" t="s">
        <v>285</v>
      </c>
      <c r="B265">
        <v>6</v>
      </c>
      <c r="C265" t="s">
        <v>382</v>
      </c>
      <c r="D265" t="s">
        <v>196</v>
      </c>
      <c r="E265" t="str">
        <f>IF(ISNUMBER(SEARCH("Brain",Table1[[#This Row],[ROI]],1)),"Brain",IF(ISNUMBER(SEARCH("Muscle",Table1[[#This Row],[ROI]],1)),"Muscle","Noise"))</f>
        <v>Muscle</v>
      </c>
      <c r="F265">
        <v>4711.6805000000004</v>
      </c>
      <c r="G265">
        <v>523.202</v>
      </c>
    </row>
    <row r="266" spans="1:7" x14ac:dyDescent="0.3">
      <c r="A266" t="s">
        <v>286</v>
      </c>
      <c r="B266">
        <v>6</v>
      </c>
      <c r="C266" t="s">
        <v>382</v>
      </c>
      <c r="D266" t="s">
        <v>197</v>
      </c>
      <c r="E266" t="str">
        <f>IF(ISNUMBER(SEARCH("Brain",Table1[[#This Row],[ROI]],1)),"Brain",IF(ISNUMBER(SEARCH("Muscle",Table1[[#This Row],[ROI]],1)),"Muscle","Noise"))</f>
        <v>Muscle</v>
      </c>
      <c r="F266">
        <v>4960.8130000000001</v>
      </c>
      <c r="G266">
        <v>585.62440000000004</v>
      </c>
    </row>
    <row r="267" spans="1:7" x14ac:dyDescent="0.3">
      <c r="A267" t="s">
        <v>287</v>
      </c>
      <c r="B267">
        <v>6</v>
      </c>
      <c r="C267" t="s">
        <v>382</v>
      </c>
      <c r="D267" t="s">
        <v>9</v>
      </c>
      <c r="E267" t="str">
        <f>IF(ISNUMBER(SEARCH("Brain",Table1[[#This Row],[ROI]],1)),"Brain",IF(ISNUMBER(SEARCH("Muscle",Table1[[#This Row],[ROI]],1)),"Muscle","Noise"))</f>
        <v>Noise</v>
      </c>
      <c r="F267">
        <v>1883.7333000000001</v>
      </c>
      <c r="G267">
        <v>1611.1342</v>
      </c>
    </row>
    <row r="268" spans="1:7" x14ac:dyDescent="0.3">
      <c r="A268" t="s">
        <v>288</v>
      </c>
      <c r="B268">
        <v>6</v>
      </c>
      <c r="C268" t="s">
        <v>382</v>
      </c>
      <c r="D268" t="s">
        <v>10</v>
      </c>
      <c r="E268" t="str">
        <f>IF(ISNUMBER(SEARCH("Brain",Table1[[#This Row],[ROI]],1)),"Brain",IF(ISNUMBER(SEARCH("Muscle",Table1[[#This Row],[ROI]],1)),"Muscle","Noise"))</f>
        <v>Noise</v>
      </c>
      <c r="F268">
        <v>904.7817</v>
      </c>
      <c r="G268">
        <v>224.2423</v>
      </c>
    </row>
    <row r="269" spans="1:7" x14ac:dyDescent="0.3">
      <c r="A269" t="s">
        <v>289</v>
      </c>
      <c r="B269">
        <v>6</v>
      </c>
      <c r="C269" t="s">
        <v>382</v>
      </c>
      <c r="D269" t="s">
        <v>11</v>
      </c>
      <c r="E269" t="str">
        <f>IF(ISNUMBER(SEARCH("Brain",Table1[[#This Row],[ROI]],1)),"Brain",IF(ISNUMBER(SEARCH("Muscle",Table1[[#This Row],[ROI]],1)),"Muscle","Noise"))</f>
        <v>Noise</v>
      </c>
      <c r="F269">
        <v>983.94050000000004</v>
      </c>
      <c r="G269">
        <v>375.0752</v>
      </c>
    </row>
    <row r="270" spans="1:7" x14ac:dyDescent="0.3">
      <c r="A270" t="s">
        <v>290</v>
      </c>
      <c r="B270">
        <v>6</v>
      </c>
      <c r="C270" t="s">
        <v>382</v>
      </c>
      <c r="D270" t="s">
        <v>12</v>
      </c>
      <c r="E270" t="str">
        <f>IF(ISNUMBER(SEARCH("Brain",Table1[[#This Row],[ROI]],1)),"Brain",IF(ISNUMBER(SEARCH("Muscle",Table1[[#This Row],[ROI]],1)),"Muscle","Noise"))</f>
        <v>Noise</v>
      </c>
      <c r="F270">
        <v>1010.5417</v>
      </c>
      <c r="G270">
        <v>289.25080000000003</v>
      </c>
    </row>
    <row r="271" spans="1:7" x14ac:dyDescent="0.3">
      <c r="A271" t="s">
        <v>291</v>
      </c>
      <c r="B271">
        <v>6</v>
      </c>
      <c r="C271" t="s">
        <v>382</v>
      </c>
      <c r="D271" t="s">
        <v>198</v>
      </c>
      <c r="E271" t="str">
        <f>IF(ISNUMBER(SEARCH("Brain",Table1[[#This Row],[ROI]],1)),"Brain",IF(ISNUMBER(SEARCH("Muscle",Table1[[#This Row],[ROI]],1)),"Muscle","Noise"))</f>
        <v>Noise</v>
      </c>
      <c r="F271">
        <v>2939.3076999999998</v>
      </c>
      <c r="G271">
        <v>2781.8175000000001</v>
      </c>
    </row>
    <row r="272" spans="1:7" x14ac:dyDescent="0.3">
      <c r="A272" t="s">
        <v>292</v>
      </c>
      <c r="B272">
        <v>7</v>
      </c>
      <c r="C272" t="s">
        <v>382</v>
      </c>
      <c r="D272" t="s">
        <v>2</v>
      </c>
      <c r="E272" t="str">
        <f>IF(ISNUMBER(SEARCH("Brain",Table1[[#This Row],[ROI]],1)),"Brain",IF(ISNUMBER(SEARCH("Muscle",Table1[[#This Row],[ROI]],1)),"Muscle","Noise"))</f>
        <v>Brain</v>
      </c>
      <c r="F272">
        <v>7400.2951000000003</v>
      </c>
      <c r="G272">
        <v>1105.4754</v>
      </c>
    </row>
    <row r="273" spans="1:7" x14ac:dyDescent="0.3">
      <c r="A273" t="s">
        <v>293</v>
      </c>
      <c r="B273">
        <v>7</v>
      </c>
      <c r="C273" t="s">
        <v>382</v>
      </c>
      <c r="D273" t="s">
        <v>3</v>
      </c>
      <c r="E273" t="str">
        <f>IF(ISNUMBER(SEARCH("Brain",Table1[[#This Row],[ROI]],1)),"Brain",IF(ISNUMBER(SEARCH("Muscle",Table1[[#This Row],[ROI]],1)),"Muscle","Noise"))</f>
        <v>Brain</v>
      </c>
      <c r="F273">
        <v>8064.5595000000003</v>
      </c>
      <c r="G273">
        <v>992.44830000000002</v>
      </c>
    </row>
    <row r="274" spans="1:7" x14ac:dyDescent="0.3">
      <c r="A274" t="s">
        <v>294</v>
      </c>
      <c r="B274">
        <v>7</v>
      </c>
      <c r="C274" t="s">
        <v>382</v>
      </c>
      <c r="D274" t="s">
        <v>4</v>
      </c>
      <c r="E274" t="str">
        <f>IF(ISNUMBER(SEARCH("Brain",Table1[[#This Row],[ROI]],1)),"Brain",IF(ISNUMBER(SEARCH("Muscle",Table1[[#This Row],[ROI]],1)),"Muscle","Noise"))</f>
        <v>Brain</v>
      </c>
      <c r="F274">
        <v>8089.3297000000002</v>
      </c>
      <c r="G274">
        <v>914.53369999999995</v>
      </c>
    </row>
    <row r="275" spans="1:7" x14ac:dyDescent="0.3">
      <c r="A275" t="s">
        <v>295</v>
      </c>
      <c r="B275">
        <v>7</v>
      </c>
      <c r="C275" t="s">
        <v>382</v>
      </c>
      <c r="D275" t="s">
        <v>5</v>
      </c>
      <c r="E275" t="str">
        <f>IF(ISNUMBER(SEARCH("Brain",Table1[[#This Row],[ROI]],1)),"Brain",IF(ISNUMBER(SEARCH("Muscle",Table1[[#This Row],[ROI]],1)),"Muscle","Noise"))</f>
        <v>Brain</v>
      </c>
      <c r="F275">
        <v>8311.18</v>
      </c>
      <c r="G275">
        <v>788.02470000000005</v>
      </c>
    </row>
    <row r="276" spans="1:7" x14ac:dyDescent="0.3">
      <c r="A276" t="s">
        <v>296</v>
      </c>
      <c r="B276">
        <v>7</v>
      </c>
      <c r="C276" t="s">
        <v>382</v>
      </c>
      <c r="D276" t="s">
        <v>6</v>
      </c>
      <c r="E276" t="str">
        <f>IF(ISNUMBER(SEARCH("Brain",Table1[[#This Row],[ROI]],1)),"Brain",IF(ISNUMBER(SEARCH("Muscle",Table1[[#This Row],[ROI]],1)),"Muscle","Noise"))</f>
        <v>Brain</v>
      </c>
      <c r="F276">
        <v>8311.3052000000007</v>
      </c>
      <c r="G276">
        <v>1552.0733</v>
      </c>
    </row>
    <row r="277" spans="1:7" x14ac:dyDescent="0.3">
      <c r="A277" t="s">
        <v>297</v>
      </c>
      <c r="B277">
        <v>7</v>
      </c>
      <c r="C277" t="s">
        <v>382</v>
      </c>
      <c r="D277" t="s">
        <v>7</v>
      </c>
      <c r="E277" t="str">
        <f>IF(ISNUMBER(SEARCH("Brain",Table1[[#This Row],[ROI]],1)),"Brain",IF(ISNUMBER(SEARCH("Muscle",Table1[[#This Row],[ROI]],1)),"Muscle","Noise"))</f>
        <v>Muscle</v>
      </c>
      <c r="F277">
        <v>4890.8242</v>
      </c>
      <c r="G277">
        <v>1533.2569000000001</v>
      </c>
    </row>
    <row r="278" spans="1:7" x14ac:dyDescent="0.3">
      <c r="A278" t="s">
        <v>298</v>
      </c>
      <c r="B278">
        <v>7</v>
      </c>
      <c r="C278" t="s">
        <v>382</v>
      </c>
      <c r="D278" t="s">
        <v>8</v>
      </c>
      <c r="E278" t="str">
        <f>IF(ISNUMBER(SEARCH("Brain",Table1[[#This Row],[ROI]],1)),"Brain",IF(ISNUMBER(SEARCH("Muscle",Table1[[#This Row],[ROI]],1)),"Muscle","Noise"))</f>
        <v>Muscle</v>
      </c>
      <c r="F278">
        <v>4693.4299000000001</v>
      </c>
      <c r="G278">
        <v>1464.9273000000001</v>
      </c>
    </row>
    <row r="279" spans="1:7" x14ac:dyDescent="0.3">
      <c r="A279" t="s">
        <v>299</v>
      </c>
      <c r="B279">
        <v>7</v>
      </c>
      <c r="C279" t="s">
        <v>382</v>
      </c>
      <c r="D279" t="s">
        <v>195</v>
      </c>
      <c r="E279" t="str">
        <f>IF(ISNUMBER(SEARCH("Brain",Table1[[#This Row],[ROI]],1)),"Brain",IF(ISNUMBER(SEARCH("Muscle",Table1[[#This Row],[ROI]],1)),"Muscle","Noise"))</f>
        <v>Muscle</v>
      </c>
      <c r="F279">
        <v>5290.9513999999999</v>
      </c>
      <c r="G279">
        <v>1049.2082</v>
      </c>
    </row>
    <row r="280" spans="1:7" x14ac:dyDescent="0.3">
      <c r="A280" t="s">
        <v>300</v>
      </c>
      <c r="B280">
        <v>7</v>
      </c>
      <c r="C280" t="s">
        <v>382</v>
      </c>
      <c r="D280" t="s">
        <v>196</v>
      </c>
      <c r="E280" t="str">
        <f>IF(ISNUMBER(SEARCH("Brain",Table1[[#This Row],[ROI]],1)),"Brain",IF(ISNUMBER(SEARCH("Muscle",Table1[[#This Row],[ROI]],1)),"Muscle","Noise"))</f>
        <v>Muscle</v>
      </c>
      <c r="F280">
        <v>5192.5739999999996</v>
      </c>
      <c r="G280">
        <v>658.15650000000005</v>
      </c>
    </row>
    <row r="281" spans="1:7" x14ac:dyDescent="0.3">
      <c r="A281" t="s">
        <v>301</v>
      </c>
      <c r="B281">
        <v>7</v>
      </c>
      <c r="C281" t="s">
        <v>382</v>
      </c>
      <c r="D281" t="s">
        <v>197</v>
      </c>
      <c r="E281" t="str">
        <f>IF(ISNUMBER(SEARCH("Brain",Table1[[#This Row],[ROI]],1)),"Brain",IF(ISNUMBER(SEARCH("Muscle",Table1[[#This Row],[ROI]],1)),"Muscle","Noise"))</f>
        <v>Muscle</v>
      </c>
      <c r="F281">
        <v>4723.7314999999999</v>
      </c>
      <c r="G281">
        <v>1271.5751</v>
      </c>
    </row>
    <row r="282" spans="1:7" x14ac:dyDescent="0.3">
      <c r="A282" t="s">
        <v>302</v>
      </c>
      <c r="B282">
        <v>7</v>
      </c>
      <c r="C282" t="s">
        <v>382</v>
      </c>
      <c r="D282" t="s">
        <v>9</v>
      </c>
      <c r="E282" t="str">
        <f>IF(ISNUMBER(SEARCH("Brain",Table1[[#This Row],[ROI]],1)),"Brain",IF(ISNUMBER(SEARCH("Muscle",Table1[[#This Row],[ROI]],1)),"Muscle","Noise"))</f>
        <v>Noise</v>
      </c>
      <c r="F282">
        <v>873.64760000000001</v>
      </c>
      <c r="G282">
        <v>198.3064</v>
      </c>
    </row>
    <row r="283" spans="1:7" x14ac:dyDescent="0.3">
      <c r="A283" t="s">
        <v>303</v>
      </c>
      <c r="B283">
        <v>7</v>
      </c>
      <c r="C283" t="s">
        <v>382</v>
      </c>
      <c r="D283" t="s">
        <v>10</v>
      </c>
      <c r="E283" t="str">
        <f>IF(ISNUMBER(SEARCH("Brain",Table1[[#This Row],[ROI]],1)),"Brain",IF(ISNUMBER(SEARCH("Muscle",Table1[[#This Row],[ROI]],1)),"Muscle","Noise"))</f>
        <v>Noise</v>
      </c>
      <c r="F283">
        <v>801.48019999999997</v>
      </c>
      <c r="G283">
        <v>234.1215</v>
      </c>
    </row>
    <row r="284" spans="1:7" x14ac:dyDescent="0.3">
      <c r="A284" t="s">
        <v>304</v>
      </c>
      <c r="B284">
        <v>7</v>
      </c>
      <c r="C284" t="s">
        <v>382</v>
      </c>
      <c r="D284" t="s">
        <v>11</v>
      </c>
      <c r="E284" t="str">
        <f>IF(ISNUMBER(SEARCH("Brain",Table1[[#This Row],[ROI]],1)),"Brain",IF(ISNUMBER(SEARCH("Muscle",Table1[[#This Row],[ROI]],1)),"Muscle","Noise"))</f>
        <v>Noise</v>
      </c>
      <c r="F284">
        <v>898.60119999999995</v>
      </c>
      <c r="G284">
        <v>254.37729999999999</v>
      </c>
    </row>
    <row r="285" spans="1:7" x14ac:dyDescent="0.3">
      <c r="A285" t="s">
        <v>305</v>
      </c>
      <c r="B285">
        <v>7</v>
      </c>
      <c r="C285" t="s">
        <v>382</v>
      </c>
      <c r="D285" t="s">
        <v>12</v>
      </c>
      <c r="E285" t="str">
        <f>IF(ISNUMBER(SEARCH("Brain",Table1[[#This Row],[ROI]],1)),"Brain",IF(ISNUMBER(SEARCH("Muscle",Table1[[#This Row],[ROI]],1)),"Muscle","Noise"))</f>
        <v>Noise</v>
      </c>
      <c r="F285">
        <v>850.09519999999998</v>
      </c>
      <c r="G285">
        <v>235.22239999999999</v>
      </c>
    </row>
    <row r="286" spans="1:7" x14ac:dyDescent="0.3">
      <c r="A286" t="s">
        <v>306</v>
      </c>
      <c r="B286">
        <v>7</v>
      </c>
      <c r="C286" t="s">
        <v>382</v>
      </c>
      <c r="D286" t="s">
        <v>198</v>
      </c>
      <c r="E286" t="str">
        <f>IF(ISNUMBER(SEARCH("Brain",Table1[[#This Row],[ROI]],1)),"Brain",IF(ISNUMBER(SEARCH("Muscle",Table1[[#This Row],[ROI]],1)),"Muscle","Noise"))</f>
        <v>Noise</v>
      </c>
      <c r="F286">
        <v>876</v>
      </c>
      <c r="G286">
        <v>250.21680000000001</v>
      </c>
    </row>
    <row r="287" spans="1:7" x14ac:dyDescent="0.3">
      <c r="A287" t="s">
        <v>307</v>
      </c>
      <c r="B287">
        <v>8</v>
      </c>
      <c r="C287" t="s">
        <v>382</v>
      </c>
      <c r="D287" t="s">
        <v>2</v>
      </c>
      <c r="E287" t="str">
        <f>IF(ISNUMBER(SEARCH("Brain",Table1[[#This Row],[ROI]],1)),"Brain",IF(ISNUMBER(SEARCH("Muscle",Table1[[#This Row],[ROI]],1)),"Muscle","Noise"))</f>
        <v>Brain</v>
      </c>
      <c r="F287">
        <v>7664.4186</v>
      </c>
      <c r="G287">
        <v>1299.8159000000001</v>
      </c>
    </row>
    <row r="288" spans="1:7" x14ac:dyDescent="0.3">
      <c r="A288" t="s">
        <v>308</v>
      </c>
      <c r="B288">
        <v>8</v>
      </c>
      <c r="C288" t="s">
        <v>382</v>
      </c>
      <c r="D288" t="s">
        <v>3</v>
      </c>
      <c r="E288" t="str">
        <f>IF(ISNUMBER(SEARCH("Brain",Table1[[#This Row],[ROI]],1)),"Brain",IF(ISNUMBER(SEARCH("Muscle",Table1[[#This Row],[ROI]],1)),"Muscle","Noise"))</f>
        <v>Brain</v>
      </c>
      <c r="F288">
        <v>8449.9001000000007</v>
      </c>
      <c r="G288">
        <v>1023.5033</v>
      </c>
    </row>
    <row r="289" spans="1:7" x14ac:dyDescent="0.3">
      <c r="A289" t="s">
        <v>309</v>
      </c>
      <c r="B289">
        <v>8</v>
      </c>
      <c r="C289" t="s">
        <v>382</v>
      </c>
      <c r="D289" t="s">
        <v>4</v>
      </c>
      <c r="E289" t="str">
        <f>IF(ISNUMBER(SEARCH("Brain",Table1[[#This Row],[ROI]],1)),"Brain",IF(ISNUMBER(SEARCH("Muscle",Table1[[#This Row],[ROI]],1)),"Muscle","Noise"))</f>
        <v>Brain</v>
      </c>
      <c r="F289">
        <v>8559.7685999999994</v>
      </c>
      <c r="G289">
        <v>967.98299999999995</v>
      </c>
    </row>
    <row r="290" spans="1:7" x14ac:dyDescent="0.3">
      <c r="A290" t="s">
        <v>310</v>
      </c>
      <c r="B290">
        <v>8</v>
      </c>
      <c r="C290" t="s">
        <v>382</v>
      </c>
      <c r="D290" t="s">
        <v>5</v>
      </c>
      <c r="E290" t="str">
        <f>IF(ISNUMBER(SEARCH("Brain",Table1[[#This Row],[ROI]],1)),"Brain",IF(ISNUMBER(SEARCH("Muscle",Table1[[#This Row],[ROI]],1)),"Muscle","Noise"))</f>
        <v>Brain</v>
      </c>
      <c r="F290">
        <v>8812.6897000000008</v>
      </c>
      <c r="G290">
        <v>867.81690000000003</v>
      </c>
    </row>
    <row r="291" spans="1:7" x14ac:dyDescent="0.3">
      <c r="A291" t="s">
        <v>311</v>
      </c>
      <c r="B291">
        <v>8</v>
      </c>
      <c r="C291" t="s">
        <v>382</v>
      </c>
      <c r="D291" t="s">
        <v>6</v>
      </c>
      <c r="E291" t="str">
        <f>IF(ISNUMBER(SEARCH("Brain",Table1[[#This Row],[ROI]],1)),"Brain",IF(ISNUMBER(SEARCH("Muscle",Table1[[#This Row],[ROI]],1)),"Muscle","Noise"))</f>
        <v>Brain</v>
      </c>
      <c r="F291">
        <v>8923.3739999999998</v>
      </c>
      <c r="G291">
        <v>1655.2846999999999</v>
      </c>
    </row>
    <row r="292" spans="1:7" x14ac:dyDescent="0.3">
      <c r="A292" t="s">
        <v>312</v>
      </c>
      <c r="B292">
        <v>8</v>
      </c>
      <c r="C292" t="s">
        <v>382</v>
      </c>
      <c r="D292" t="s">
        <v>7</v>
      </c>
      <c r="E292" t="str">
        <f>IF(ISNUMBER(SEARCH("Brain",Table1[[#This Row],[ROI]],1)),"Brain",IF(ISNUMBER(SEARCH("Muscle",Table1[[#This Row],[ROI]],1)),"Muscle","Noise"))</f>
        <v>Muscle</v>
      </c>
      <c r="F292">
        <v>4642.8485000000001</v>
      </c>
      <c r="G292">
        <v>2019.4354000000001</v>
      </c>
    </row>
    <row r="293" spans="1:7" x14ac:dyDescent="0.3">
      <c r="A293" t="s">
        <v>313</v>
      </c>
      <c r="B293">
        <v>8</v>
      </c>
      <c r="C293" t="s">
        <v>382</v>
      </c>
      <c r="D293" t="s">
        <v>8</v>
      </c>
      <c r="E293" t="str">
        <f>IF(ISNUMBER(SEARCH("Brain",Table1[[#This Row],[ROI]],1)),"Brain",IF(ISNUMBER(SEARCH("Muscle",Table1[[#This Row],[ROI]],1)),"Muscle","Noise"))</f>
        <v>Muscle</v>
      </c>
      <c r="F293">
        <v>6344.0361999999996</v>
      </c>
      <c r="G293">
        <v>675.45370000000003</v>
      </c>
    </row>
    <row r="294" spans="1:7" x14ac:dyDescent="0.3">
      <c r="A294" t="s">
        <v>314</v>
      </c>
      <c r="B294">
        <v>8</v>
      </c>
      <c r="C294" t="s">
        <v>382</v>
      </c>
      <c r="D294" t="s">
        <v>195</v>
      </c>
      <c r="E294" t="str">
        <f>IF(ISNUMBER(SEARCH("Brain",Table1[[#This Row],[ROI]],1)),"Brain",IF(ISNUMBER(SEARCH("Muscle",Table1[[#This Row],[ROI]],1)),"Muscle","Noise"))</f>
        <v>Muscle</v>
      </c>
      <c r="F294">
        <v>6001.7916999999998</v>
      </c>
      <c r="G294">
        <v>639.07719999999995</v>
      </c>
    </row>
    <row r="295" spans="1:7" x14ac:dyDescent="0.3">
      <c r="A295" t="s">
        <v>315</v>
      </c>
      <c r="B295">
        <v>8</v>
      </c>
      <c r="C295" t="s">
        <v>382</v>
      </c>
      <c r="D295" t="s">
        <v>196</v>
      </c>
      <c r="E295" t="str">
        <f>IF(ISNUMBER(SEARCH("Brain",Table1[[#This Row],[ROI]],1)),"Brain",IF(ISNUMBER(SEARCH("Muscle",Table1[[#This Row],[ROI]],1)),"Muscle","Noise"))</f>
        <v>Muscle</v>
      </c>
      <c r="F295">
        <v>5563.1538</v>
      </c>
      <c r="G295">
        <v>726.81610000000001</v>
      </c>
    </row>
    <row r="296" spans="1:7" x14ac:dyDescent="0.3">
      <c r="A296" t="s">
        <v>316</v>
      </c>
      <c r="B296">
        <v>8</v>
      </c>
      <c r="C296" t="s">
        <v>382</v>
      </c>
      <c r="D296" t="s">
        <v>197</v>
      </c>
      <c r="E296" t="str">
        <f>IF(ISNUMBER(SEARCH("Brain",Table1[[#This Row],[ROI]],1)),"Brain",IF(ISNUMBER(SEARCH("Muscle",Table1[[#This Row],[ROI]],1)),"Muscle","Noise"))</f>
        <v>Muscle</v>
      </c>
      <c r="F296">
        <v>5473.7777999999998</v>
      </c>
      <c r="G296">
        <v>1236.9626000000001</v>
      </c>
    </row>
    <row r="297" spans="1:7" x14ac:dyDescent="0.3">
      <c r="A297" t="s">
        <v>317</v>
      </c>
      <c r="B297">
        <v>8</v>
      </c>
      <c r="C297" t="s">
        <v>382</v>
      </c>
      <c r="D297" t="s">
        <v>9</v>
      </c>
      <c r="E297" t="str">
        <f>IF(ISNUMBER(SEARCH("Brain",Table1[[#This Row],[ROI]],1)),"Brain",IF(ISNUMBER(SEARCH("Muscle",Table1[[#This Row],[ROI]],1)),"Muscle","Noise"))</f>
        <v>Noise</v>
      </c>
      <c r="F297">
        <v>931.29520000000002</v>
      </c>
      <c r="G297">
        <v>298.88040000000001</v>
      </c>
    </row>
    <row r="298" spans="1:7" x14ac:dyDescent="0.3">
      <c r="A298" t="s">
        <v>318</v>
      </c>
      <c r="B298">
        <v>8</v>
      </c>
      <c r="C298" t="s">
        <v>382</v>
      </c>
      <c r="D298" t="s">
        <v>10</v>
      </c>
      <c r="E298" t="str">
        <f>IF(ISNUMBER(SEARCH("Brain",Table1[[#This Row],[ROI]],1)),"Brain",IF(ISNUMBER(SEARCH("Muscle",Table1[[#This Row],[ROI]],1)),"Muscle","Noise"))</f>
        <v>Noise</v>
      </c>
      <c r="F298">
        <v>845.80160000000001</v>
      </c>
      <c r="G298">
        <v>207.858</v>
      </c>
    </row>
    <row r="299" spans="1:7" x14ac:dyDescent="0.3">
      <c r="A299" t="s">
        <v>319</v>
      </c>
      <c r="B299">
        <v>8</v>
      </c>
      <c r="C299" t="s">
        <v>382</v>
      </c>
      <c r="D299" t="s">
        <v>11</v>
      </c>
      <c r="E299" t="str">
        <f>IF(ISNUMBER(SEARCH("Brain",Table1[[#This Row],[ROI]],1)),"Brain",IF(ISNUMBER(SEARCH("Muscle",Table1[[#This Row],[ROI]],1)),"Muscle","Noise"))</f>
        <v>Noise</v>
      </c>
      <c r="F299">
        <v>897.83730000000003</v>
      </c>
      <c r="G299">
        <v>230.2773</v>
      </c>
    </row>
    <row r="300" spans="1:7" x14ac:dyDescent="0.3">
      <c r="A300" t="s">
        <v>320</v>
      </c>
      <c r="B300">
        <v>8</v>
      </c>
      <c r="C300" t="s">
        <v>382</v>
      </c>
      <c r="D300" t="s">
        <v>12</v>
      </c>
      <c r="E300" t="str">
        <f>IF(ISNUMBER(SEARCH("Brain",Table1[[#This Row],[ROI]],1)),"Brain",IF(ISNUMBER(SEARCH("Muscle",Table1[[#This Row],[ROI]],1)),"Muscle","Noise"))</f>
        <v>Noise</v>
      </c>
      <c r="F300">
        <v>832.15480000000002</v>
      </c>
      <c r="G300">
        <v>199.76679999999999</v>
      </c>
    </row>
    <row r="301" spans="1:7" x14ac:dyDescent="0.3">
      <c r="A301" t="s">
        <v>321</v>
      </c>
      <c r="B301">
        <v>8</v>
      </c>
      <c r="C301" t="s">
        <v>382</v>
      </c>
      <c r="D301" t="s">
        <v>198</v>
      </c>
      <c r="E301" t="str">
        <f>IF(ISNUMBER(SEARCH("Brain",Table1[[#This Row],[ROI]],1)),"Brain",IF(ISNUMBER(SEARCH("Muscle",Table1[[#This Row],[ROI]],1)),"Muscle","Noise"))</f>
        <v>Noise</v>
      </c>
      <c r="F301">
        <v>866.9941</v>
      </c>
      <c r="G301">
        <v>220.97309999999999</v>
      </c>
    </row>
    <row r="302" spans="1:7" x14ac:dyDescent="0.3">
      <c r="A302" t="s">
        <v>322</v>
      </c>
      <c r="B302">
        <v>9</v>
      </c>
      <c r="C302" t="s">
        <v>382</v>
      </c>
      <c r="D302" t="s">
        <v>2</v>
      </c>
      <c r="E302" t="str">
        <f>IF(ISNUMBER(SEARCH("Brain",Table1[[#This Row],[ROI]],1)),"Brain",IF(ISNUMBER(SEARCH("Muscle",Table1[[#This Row],[ROI]],1)),"Muscle","Noise"))</f>
        <v>Brain</v>
      </c>
      <c r="F302">
        <v>9592.4639999999999</v>
      </c>
      <c r="G302">
        <v>1447.0395000000001</v>
      </c>
    </row>
    <row r="303" spans="1:7" x14ac:dyDescent="0.3">
      <c r="A303" t="s">
        <v>323</v>
      </c>
      <c r="B303">
        <v>9</v>
      </c>
      <c r="C303" t="s">
        <v>382</v>
      </c>
      <c r="D303" t="s">
        <v>3</v>
      </c>
      <c r="E303" t="str">
        <f>IF(ISNUMBER(SEARCH("Brain",Table1[[#This Row],[ROI]],1)),"Brain",IF(ISNUMBER(SEARCH("Muscle",Table1[[#This Row],[ROI]],1)),"Muscle","Noise"))</f>
        <v>Brain</v>
      </c>
      <c r="F303">
        <v>10075.119000000001</v>
      </c>
      <c r="G303">
        <v>1293.8982000000001</v>
      </c>
    </row>
    <row r="304" spans="1:7" x14ac:dyDescent="0.3">
      <c r="A304" t="s">
        <v>324</v>
      </c>
      <c r="B304">
        <v>9</v>
      </c>
      <c r="C304" t="s">
        <v>382</v>
      </c>
      <c r="D304" t="s">
        <v>4</v>
      </c>
      <c r="E304" t="str">
        <f>IF(ISNUMBER(SEARCH("Brain",Table1[[#This Row],[ROI]],1)),"Brain",IF(ISNUMBER(SEARCH("Muscle",Table1[[#This Row],[ROI]],1)),"Muscle","Noise"))</f>
        <v>Brain</v>
      </c>
      <c r="F304">
        <v>10265.1831</v>
      </c>
      <c r="G304">
        <v>1147.7950000000001</v>
      </c>
    </row>
    <row r="305" spans="1:7" x14ac:dyDescent="0.3">
      <c r="A305" t="s">
        <v>325</v>
      </c>
      <c r="B305">
        <v>9</v>
      </c>
      <c r="C305" t="s">
        <v>382</v>
      </c>
      <c r="D305" t="s">
        <v>5</v>
      </c>
      <c r="E305" t="str">
        <f>IF(ISNUMBER(SEARCH("Brain",Table1[[#This Row],[ROI]],1)),"Brain",IF(ISNUMBER(SEARCH("Muscle",Table1[[#This Row],[ROI]],1)),"Muscle","Noise"))</f>
        <v>Brain</v>
      </c>
      <c r="F305">
        <v>10344.847400000001</v>
      </c>
      <c r="G305">
        <v>1008.5688</v>
      </c>
    </row>
    <row r="306" spans="1:7" x14ac:dyDescent="0.3">
      <c r="A306" t="s">
        <v>326</v>
      </c>
      <c r="B306">
        <v>9</v>
      </c>
      <c r="C306" t="s">
        <v>382</v>
      </c>
      <c r="D306" t="s">
        <v>6</v>
      </c>
      <c r="E306" t="str">
        <f>IF(ISNUMBER(SEARCH("Brain",Table1[[#This Row],[ROI]],1)),"Brain",IF(ISNUMBER(SEARCH("Muscle",Table1[[#This Row],[ROI]],1)),"Muscle","Noise"))</f>
        <v>Brain</v>
      </c>
      <c r="F306">
        <v>10596.31</v>
      </c>
      <c r="G306">
        <v>1887.4204</v>
      </c>
    </row>
    <row r="307" spans="1:7" x14ac:dyDescent="0.3">
      <c r="A307" t="s">
        <v>327</v>
      </c>
      <c r="B307">
        <v>9</v>
      </c>
      <c r="C307" t="s">
        <v>382</v>
      </c>
      <c r="D307" t="s">
        <v>7</v>
      </c>
      <c r="E307" t="str">
        <f>IF(ISNUMBER(SEARCH("Brain",Table1[[#This Row],[ROI]],1)),"Brain",IF(ISNUMBER(SEARCH("Muscle",Table1[[#This Row],[ROI]],1)),"Muscle","Noise"))</f>
        <v>Muscle</v>
      </c>
      <c r="F307">
        <v>5579.9879000000001</v>
      </c>
      <c r="G307">
        <v>1201.0386000000001</v>
      </c>
    </row>
    <row r="308" spans="1:7" x14ac:dyDescent="0.3">
      <c r="A308" t="s">
        <v>328</v>
      </c>
      <c r="B308">
        <v>9</v>
      </c>
      <c r="C308" t="s">
        <v>382</v>
      </c>
      <c r="D308" t="s">
        <v>8</v>
      </c>
      <c r="E308" t="str">
        <f>IF(ISNUMBER(SEARCH("Brain",Table1[[#This Row],[ROI]],1)),"Brain",IF(ISNUMBER(SEARCH("Muscle",Table1[[#This Row],[ROI]],1)),"Muscle","Noise"))</f>
        <v>Muscle</v>
      </c>
      <c r="F308">
        <v>7243.4750999999997</v>
      </c>
      <c r="G308">
        <v>1438.6476</v>
      </c>
    </row>
    <row r="309" spans="1:7" x14ac:dyDescent="0.3">
      <c r="A309" t="s">
        <v>329</v>
      </c>
      <c r="B309">
        <v>9</v>
      </c>
      <c r="C309" t="s">
        <v>382</v>
      </c>
      <c r="D309" t="s">
        <v>195</v>
      </c>
      <c r="E309" t="str">
        <f>IF(ISNUMBER(SEARCH("Brain",Table1[[#This Row],[ROI]],1)),"Brain",IF(ISNUMBER(SEARCH("Muscle",Table1[[#This Row],[ROI]],1)),"Muscle","Noise"))</f>
        <v>Muscle</v>
      </c>
      <c r="F309">
        <v>6008.7013999999999</v>
      </c>
      <c r="G309">
        <v>1135.3527999999999</v>
      </c>
    </row>
    <row r="310" spans="1:7" x14ac:dyDescent="0.3">
      <c r="A310" t="s">
        <v>330</v>
      </c>
      <c r="B310">
        <v>9</v>
      </c>
      <c r="C310" t="s">
        <v>382</v>
      </c>
      <c r="D310" t="s">
        <v>196</v>
      </c>
      <c r="E310" t="str">
        <f>IF(ISNUMBER(SEARCH("Brain",Table1[[#This Row],[ROI]],1)),"Brain",IF(ISNUMBER(SEARCH("Muscle",Table1[[#This Row],[ROI]],1)),"Muscle","Noise"))</f>
        <v>Muscle</v>
      </c>
      <c r="F310">
        <v>7539.2959000000001</v>
      </c>
      <c r="G310">
        <v>941.01580000000001</v>
      </c>
    </row>
    <row r="311" spans="1:7" x14ac:dyDescent="0.3">
      <c r="A311" t="s">
        <v>331</v>
      </c>
      <c r="B311">
        <v>9</v>
      </c>
      <c r="C311" t="s">
        <v>382</v>
      </c>
      <c r="D311" t="s">
        <v>197</v>
      </c>
      <c r="E311" t="str">
        <f>IF(ISNUMBER(SEARCH("Brain",Table1[[#This Row],[ROI]],1)),"Brain",IF(ISNUMBER(SEARCH("Muscle",Table1[[#This Row],[ROI]],1)),"Muscle","Noise"))</f>
        <v>Muscle</v>
      </c>
      <c r="F311">
        <v>6423.5129999999999</v>
      </c>
      <c r="G311">
        <v>1230.1374000000001</v>
      </c>
    </row>
    <row r="312" spans="1:7" x14ac:dyDescent="0.3">
      <c r="A312" t="s">
        <v>332</v>
      </c>
      <c r="B312">
        <v>9</v>
      </c>
      <c r="C312" t="s">
        <v>382</v>
      </c>
      <c r="D312" t="s">
        <v>9</v>
      </c>
      <c r="E312" t="str">
        <f>IF(ISNUMBER(SEARCH("Brain",Table1[[#This Row],[ROI]],1)),"Brain",IF(ISNUMBER(SEARCH("Muscle",Table1[[#This Row],[ROI]],1)),"Muscle","Noise"))</f>
        <v>Noise</v>
      </c>
      <c r="F312">
        <v>1155.8857</v>
      </c>
      <c r="G312">
        <v>263.84989999999999</v>
      </c>
    </row>
    <row r="313" spans="1:7" x14ac:dyDescent="0.3">
      <c r="A313" t="s">
        <v>333</v>
      </c>
      <c r="B313">
        <v>9</v>
      </c>
      <c r="C313" t="s">
        <v>382</v>
      </c>
      <c r="D313" t="s">
        <v>10</v>
      </c>
      <c r="E313" t="str">
        <f>IF(ISNUMBER(SEARCH("Brain",Table1[[#This Row],[ROI]],1)),"Brain",IF(ISNUMBER(SEARCH("Muscle",Table1[[#This Row],[ROI]],1)),"Muscle","Noise"))</f>
        <v>Noise</v>
      </c>
      <c r="F313">
        <v>1120.6944000000001</v>
      </c>
      <c r="G313">
        <v>354.33019999999999</v>
      </c>
    </row>
    <row r="314" spans="1:7" x14ac:dyDescent="0.3">
      <c r="A314" t="s">
        <v>334</v>
      </c>
      <c r="B314">
        <v>9</v>
      </c>
      <c r="C314" t="s">
        <v>382</v>
      </c>
      <c r="D314" t="s">
        <v>11</v>
      </c>
      <c r="E314" t="str">
        <f>IF(ISNUMBER(SEARCH("Brain",Table1[[#This Row],[ROI]],1)),"Brain",IF(ISNUMBER(SEARCH("Muscle",Table1[[#This Row],[ROI]],1)),"Muscle","Noise"))</f>
        <v>Noise</v>
      </c>
      <c r="F314">
        <v>1133.4226000000001</v>
      </c>
      <c r="G314">
        <v>338.00470000000001</v>
      </c>
    </row>
    <row r="315" spans="1:7" x14ac:dyDescent="0.3">
      <c r="A315" t="s">
        <v>335</v>
      </c>
      <c r="B315">
        <v>9</v>
      </c>
      <c r="C315" t="s">
        <v>382</v>
      </c>
      <c r="D315" t="s">
        <v>12</v>
      </c>
      <c r="E315" t="str">
        <f>IF(ISNUMBER(SEARCH("Brain",Table1[[#This Row],[ROI]],1)),"Brain",IF(ISNUMBER(SEARCH("Muscle",Table1[[#This Row],[ROI]],1)),"Muscle","Noise"))</f>
        <v>Noise</v>
      </c>
      <c r="F315">
        <v>1091.8570999999999</v>
      </c>
      <c r="G315">
        <v>234.5052</v>
      </c>
    </row>
    <row r="316" spans="1:7" x14ac:dyDescent="0.3">
      <c r="A316" t="s">
        <v>336</v>
      </c>
      <c r="B316">
        <v>9</v>
      </c>
      <c r="C316" t="s">
        <v>382</v>
      </c>
      <c r="D316" t="s">
        <v>198</v>
      </c>
      <c r="E316" t="str">
        <f>IF(ISNUMBER(SEARCH("Brain",Table1[[#This Row],[ROI]],1)),"Brain",IF(ISNUMBER(SEARCH("Muscle",Table1[[#This Row],[ROI]],1)),"Muscle","Noise"))</f>
        <v>Noise</v>
      </c>
      <c r="F316">
        <v>1090.7751000000001</v>
      </c>
      <c r="G316">
        <v>323.14640000000003</v>
      </c>
    </row>
    <row r="317" spans="1:7" x14ac:dyDescent="0.3">
      <c r="A317" t="s">
        <v>337</v>
      </c>
      <c r="B317">
        <v>10</v>
      </c>
      <c r="C317" t="s">
        <v>382</v>
      </c>
      <c r="D317" t="s">
        <v>2</v>
      </c>
      <c r="E317" t="str">
        <f>IF(ISNUMBER(SEARCH("Brain",Table1[[#This Row],[ROI]],1)),"Brain",IF(ISNUMBER(SEARCH("Muscle",Table1[[#This Row],[ROI]],1)),"Muscle","Noise"))</f>
        <v>Brain</v>
      </c>
      <c r="F317">
        <v>5762.8384999999998</v>
      </c>
      <c r="G317">
        <v>1192.0516</v>
      </c>
    </row>
    <row r="318" spans="1:7" x14ac:dyDescent="0.3">
      <c r="A318" t="s">
        <v>338</v>
      </c>
      <c r="B318">
        <v>10</v>
      </c>
      <c r="C318" t="s">
        <v>382</v>
      </c>
      <c r="D318" t="s">
        <v>3</v>
      </c>
      <c r="E318" t="str">
        <f>IF(ISNUMBER(SEARCH("Brain",Table1[[#This Row],[ROI]],1)),"Brain",IF(ISNUMBER(SEARCH("Muscle",Table1[[#This Row],[ROI]],1)),"Muscle","Noise"))</f>
        <v>Brain</v>
      </c>
      <c r="F318">
        <v>7164.3671999999997</v>
      </c>
      <c r="G318">
        <v>1117.1068</v>
      </c>
    </row>
    <row r="319" spans="1:7" x14ac:dyDescent="0.3">
      <c r="A319" t="s">
        <v>339</v>
      </c>
      <c r="B319">
        <v>10</v>
      </c>
      <c r="C319" t="s">
        <v>382</v>
      </c>
      <c r="D319" t="s">
        <v>4</v>
      </c>
      <c r="E319" t="str">
        <f>IF(ISNUMBER(SEARCH("Brain",Table1[[#This Row],[ROI]],1)),"Brain",IF(ISNUMBER(SEARCH("Muscle",Table1[[#This Row],[ROI]],1)),"Muscle","Noise"))</f>
        <v>Brain</v>
      </c>
      <c r="F319">
        <v>7717.3434999999999</v>
      </c>
      <c r="G319">
        <v>1064.2037</v>
      </c>
    </row>
    <row r="320" spans="1:7" x14ac:dyDescent="0.3">
      <c r="A320" t="s">
        <v>340</v>
      </c>
      <c r="B320">
        <v>10</v>
      </c>
      <c r="C320" t="s">
        <v>382</v>
      </c>
      <c r="D320" t="s">
        <v>5</v>
      </c>
      <c r="E320" t="str">
        <f>IF(ISNUMBER(SEARCH("Brain",Table1[[#This Row],[ROI]],1)),"Brain",IF(ISNUMBER(SEARCH("Muscle",Table1[[#This Row],[ROI]],1)),"Muscle","Noise"))</f>
        <v>Brain</v>
      </c>
      <c r="F320">
        <v>7734.1147000000001</v>
      </c>
      <c r="G320">
        <v>773.4837</v>
      </c>
    </row>
    <row r="321" spans="1:7" x14ac:dyDescent="0.3">
      <c r="A321" t="s">
        <v>341</v>
      </c>
      <c r="B321">
        <v>10</v>
      </c>
      <c r="C321" t="s">
        <v>382</v>
      </c>
      <c r="D321" t="s">
        <v>6</v>
      </c>
      <c r="E321" t="str">
        <f>IF(ISNUMBER(SEARCH("Brain",Table1[[#This Row],[ROI]],1)),"Brain",IF(ISNUMBER(SEARCH("Muscle",Table1[[#This Row],[ROI]],1)),"Muscle","Noise"))</f>
        <v>Brain</v>
      </c>
      <c r="F321">
        <v>7897.67</v>
      </c>
      <c r="G321">
        <v>1586.7279000000001</v>
      </c>
    </row>
    <row r="322" spans="1:7" x14ac:dyDescent="0.3">
      <c r="A322" t="s">
        <v>342</v>
      </c>
      <c r="B322">
        <v>10</v>
      </c>
      <c r="C322" t="s">
        <v>382</v>
      </c>
      <c r="D322" t="s">
        <v>7</v>
      </c>
      <c r="E322" t="str">
        <f>IF(ISNUMBER(SEARCH("Brain",Table1[[#This Row],[ROI]],1)),"Brain",IF(ISNUMBER(SEARCH("Muscle",Table1[[#This Row],[ROI]],1)),"Muscle","Noise"))</f>
        <v>Muscle</v>
      </c>
      <c r="F322">
        <v>4338.7515000000003</v>
      </c>
      <c r="G322">
        <v>1711.6772000000001</v>
      </c>
    </row>
    <row r="323" spans="1:7" x14ac:dyDescent="0.3">
      <c r="A323" t="s">
        <v>343</v>
      </c>
      <c r="B323">
        <v>10</v>
      </c>
      <c r="C323" t="s">
        <v>382</v>
      </c>
      <c r="D323" t="s">
        <v>8</v>
      </c>
      <c r="E323" t="str">
        <f>IF(ISNUMBER(SEARCH("Brain",Table1[[#This Row],[ROI]],1)),"Brain",IF(ISNUMBER(SEARCH("Muscle",Table1[[#This Row],[ROI]],1)),"Muscle","Noise"))</f>
        <v>Muscle</v>
      </c>
      <c r="F323">
        <v>3709.8281000000002</v>
      </c>
      <c r="G323">
        <v>1546.1835000000001</v>
      </c>
    </row>
    <row r="324" spans="1:7" x14ac:dyDescent="0.3">
      <c r="A324" t="s">
        <v>344</v>
      </c>
      <c r="B324">
        <v>10</v>
      </c>
      <c r="C324" t="s">
        <v>382</v>
      </c>
      <c r="D324" t="s">
        <v>195</v>
      </c>
      <c r="E324" t="str">
        <f>IF(ISNUMBER(SEARCH("Brain",Table1[[#This Row],[ROI]],1)),"Brain",IF(ISNUMBER(SEARCH("Muscle",Table1[[#This Row],[ROI]],1)),"Muscle","Noise"))</f>
        <v>Muscle</v>
      </c>
      <c r="F324">
        <v>4474.2222000000002</v>
      </c>
      <c r="G324">
        <v>954.30600000000004</v>
      </c>
    </row>
    <row r="325" spans="1:7" x14ac:dyDescent="0.3">
      <c r="A325" t="s">
        <v>345</v>
      </c>
      <c r="B325">
        <v>10</v>
      </c>
      <c r="C325" t="s">
        <v>382</v>
      </c>
      <c r="D325" t="s">
        <v>196</v>
      </c>
      <c r="E325" t="str">
        <f>IF(ISNUMBER(SEARCH("Brain",Table1[[#This Row],[ROI]],1)),"Brain",IF(ISNUMBER(SEARCH("Muscle",Table1[[#This Row],[ROI]],1)),"Muscle","Noise"))</f>
        <v>Muscle</v>
      </c>
      <c r="F325">
        <v>4050.2959000000001</v>
      </c>
      <c r="G325">
        <v>1041.9145000000001</v>
      </c>
    </row>
    <row r="326" spans="1:7" x14ac:dyDescent="0.3">
      <c r="A326" t="s">
        <v>346</v>
      </c>
      <c r="B326">
        <v>10</v>
      </c>
      <c r="C326" t="s">
        <v>382</v>
      </c>
      <c r="D326" t="s">
        <v>197</v>
      </c>
      <c r="E326" t="str">
        <f>IF(ISNUMBER(SEARCH("Brain",Table1[[#This Row],[ROI]],1)),"Brain",IF(ISNUMBER(SEARCH("Muscle",Table1[[#This Row],[ROI]],1)),"Muscle","Noise"))</f>
        <v>Muscle</v>
      </c>
      <c r="F326">
        <v>3655.4611</v>
      </c>
      <c r="G326">
        <v>937.97130000000004</v>
      </c>
    </row>
    <row r="327" spans="1:7" x14ac:dyDescent="0.3">
      <c r="A327" t="s">
        <v>347</v>
      </c>
      <c r="B327">
        <v>10</v>
      </c>
      <c r="C327" t="s">
        <v>382</v>
      </c>
      <c r="D327" t="s">
        <v>9</v>
      </c>
      <c r="E327" t="str">
        <f>IF(ISNUMBER(SEARCH("Brain",Table1[[#This Row],[ROI]],1)),"Brain",IF(ISNUMBER(SEARCH("Muscle",Table1[[#This Row],[ROI]],1)),"Muscle","Noise"))</f>
        <v>Noise</v>
      </c>
      <c r="F327">
        <v>1035.9142999999999</v>
      </c>
      <c r="G327">
        <v>343.30130000000003</v>
      </c>
    </row>
    <row r="328" spans="1:7" x14ac:dyDescent="0.3">
      <c r="A328" t="s">
        <v>348</v>
      </c>
      <c r="B328">
        <v>10</v>
      </c>
      <c r="C328" t="s">
        <v>382</v>
      </c>
      <c r="D328" t="s">
        <v>10</v>
      </c>
      <c r="E328" t="str">
        <f>IF(ISNUMBER(SEARCH("Brain",Table1[[#This Row],[ROI]],1)),"Brain",IF(ISNUMBER(SEARCH("Muscle",Table1[[#This Row],[ROI]],1)),"Muscle","Noise"))</f>
        <v>Noise</v>
      </c>
      <c r="F328">
        <v>863.2817</v>
      </c>
      <c r="G328">
        <v>321.19630000000001</v>
      </c>
    </row>
    <row r="329" spans="1:7" x14ac:dyDescent="0.3">
      <c r="A329" t="s">
        <v>349</v>
      </c>
      <c r="B329">
        <v>10</v>
      </c>
      <c r="C329" t="s">
        <v>382</v>
      </c>
      <c r="D329" t="s">
        <v>11</v>
      </c>
      <c r="E329" t="str">
        <f>IF(ISNUMBER(SEARCH("Brain",Table1[[#This Row],[ROI]],1)),"Brain",IF(ISNUMBER(SEARCH("Muscle",Table1[[#This Row],[ROI]],1)),"Muscle","Noise"))</f>
        <v>Noise</v>
      </c>
      <c r="F329">
        <v>942.10419999999999</v>
      </c>
      <c r="G329">
        <v>327.19589999999999</v>
      </c>
    </row>
    <row r="330" spans="1:7" x14ac:dyDescent="0.3">
      <c r="A330" t="s">
        <v>350</v>
      </c>
      <c r="B330">
        <v>10</v>
      </c>
      <c r="C330" t="s">
        <v>382</v>
      </c>
      <c r="D330" t="s">
        <v>12</v>
      </c>
      <c r="E330" t="str">
        <f>IF(ISNUMBER(SEARCH("Brain",Table1[[#This Row],[ROI]],1)),"Brain",IF(ISNUMBER(SEARCH("Muscle",Table1[[#This Row],[ROI]],1)),"Muscle","Noise"))</f>
        <v>Noise</v>
      </c>
      <c r="F330">
        <v>974.69640000000004</v>
      </c>
      <c r="G330">
        <v>247.66909999999999</v>
      </c>
    </row>
    <row r="331" spans="1:7" x14ac:dyDescent="0.3">
      <c r="A331" t="s">
        <v>351</v>
      </c>
      <c r="B331">
        <v>10</v>
      </c>
      <c r="C331" t="s">
        <v>382</v>
      </c>
      <c r="D331" t="s">
        <v>198</v>
      </c>
      <c r="E331" t="str">
        <f>IF(ISNUMBER(SEARCH("Brain",Table1[[#This Row],[ROI]],1)),"Brain",IF(ISNUMBER(SEARCH("Muscle",Table1[[#This Row],[ROI]],1)),"Muscle","Noise"))</f>
        <v>Noise</v>
      </c>
      <c r="F331">
        <v>1071.5799</v>
      </c>
      <c r="G331">
        <v>340.11110000000002</v>
      </c>
    </row>
    <row r="332" spans="1:7" x14ac:dyDescent="0.3">
      <c r="A332" t="s">
        <v>352</v>
      </c>
      <c r="B332">
        <v>11</v>
      </c>
      <c r="C332" t="s">
        <v>382</v>
      </c>
      <c r="D332" t="s">
        <v>2</v>
      </c>
      <c r="E332" t="str">
        <f>IF(ISNUMBER(SEARCH("Brain",Table1[[#This Row],[ROI]],1)),"Brain",IF(ISNUMBER(SEARCH("Muscle",Table1[[#This Row],[ROI]],1)),"Muscle","Noise"))</f>
        <v>Brain</v>
      </c>
      <c r="F332">
        <v>6733.0862999999999</v>
      </c>
      <c r="G332">
        <v>1241.2764999999999</v>
      </c>
    </row>
    <row r="333" spans="1:7" x14ac:dyDescent="0.3">
      <c r="A333" t="s">
        <v>353</v>
      </c>
      <c r="B333">
        <v>11</v>
      </c>
      <c r="C333" t="s">
        <v>382</v>
      </c>
      <c r="D333" t="s">
        <v>3</v>
      </c>
      <c r="E333" t="str">
        <f>IF(ISNUMBER(SEARCH("Brain",Table1[[#This Row],[ROI]],1)),"Brain",IF(ISNUMBER(SEARCH("Muscle",Table1[[#This Row],[ROI]],1)),"Muscle","Noise"))</f>
        <v>Brain</v>
      </c>
      <c r="F333">
        <v>7534.9588999999996</v>
      </c>
      <c r="G333">
        <v>942.19970000000001</v>
      </c>
    </row>
    <row r="334" spans="1:7" x14ac:dyDescent="0.3">
      <c r="A334" t="s">
        <v>354</v>
      </c>
      <c r="B334">
        <v>11</v>
      </c>
      <c r="C334" t="s">
        <v>382</v>
      </c>
      <c r="D334" t="s">
        <v>4</v>
      </c>
      <c r="E334" t="str">
        <f>IF(ISNUMBER(SEARCH("Brain",Table1[[#This Row],[ROI]],1)),"Brain",IF(ISNUMBER(SEARCH("Muscle",Table1[[#This Row],[ROI]],1)),"Muscle","Noise"))</f>
        <v>Brain</v>
      </c>
      <c r="F334">
        <v>7587.6781000000001</v>
      </c>
      <c r="G334">
        <v>859.74739999999997</v>
      </c>
    </row>
    <row r="335" spans="1:7" x14ac:dyDescent="0.3">
      <c r="A335" t="s">
        <v>355</v>
      </c>
      <c r="B335">
        <v>11</v>
      </c>
      <c r="C335" t="s">
        <v>382</v>
      </c>
      <c r="D335" t="s">
        <v>5</v>
      </c>
      <c r="E335" t="str">
        <f>IF(ISNUMBER(SEARCH("Brain",Table1[[#This Row],[ROI]],1)),"Brain",IF(ISNUMBER(SEARCH("Muscle",Table1[[#This Row],[ROI]],1)),"Muscle","Noise"))</f>
        <v>Brain</v>
      </c>
      <c r="F335">
        <v>7662.51</v>
      </c>
      <c r="G335">
        <v>756.76260000000002</v>
      </c>
    </row>
    <row r="336" spans="1:7" x14ac:dyDescent="0.3">
      <c r="A336" t="s">
        <v>356</v>
      </c>
      <c r="B336">
        <v>11</v>
      </c>
      <c r="C336" t="s">
        <v>382</v>
      </c>
      <c r="D336" t="s">
        <v>6</v>
      </c>
      <c r="E336" t="str">
        <f>IF(ISNUMBER(SEARCH("Brain",Table1[[#This Row],[ROI]],1)),"Brain",IF(ISNUMBER(SEARCH("Muscle",Table1[[#This Row],[ROI]],1)),"Muscle","Noise"))</f>
        <v>Brain</v>
      </c>
      <c r="F336">
        <v>7870.1923999999999</v>
      </c>
      <c r="G336">
        <v>1839.3877</v>
      </c>
    </row>
    <row r="337" spans="1:7" x14ac:dyDescent="0.3">
      <c r="A337" t="s">
        <v>357</v>
      </c>
      <c r="B337">
        <v>11</v>
      </c>
      <c r="C337" t="s">
        <v>382</v>
      </c>
      <c r="D337" t="s">
        <v>7</v>
      </c>
      <c r="E337" t="str">
        <f>IF(ISNUMBER(SEARCH("Brain",Table1[[#This Row],[ROI]],1)),"Brain",IF(ISNUMBER(SEARCH("Muscle",Table1[[#This Row],[ROI]],1)),"Muscle","Noise"))</f>
        <v>Muscle</v>
      </c>
      <c r="F337">
        <v>4741.8181999999997</v>
      </c>
      <c r="G337">
        <v>775.01419999999996</v>
      </c>
    </row>
    <row r="338" spans="1:7" x14ac:dyDescent="0.3">
      <c r="A338" t="s">
        <v>358</v>
      </c>
      <c r="B338">
        <v>11</v>
      </c>
      <c r="C338" t="s">
        <v>382</v>
      </c>
      <c r="D338" t="s">
        <v>8</v>
      </c>
      <c r="E338" t="str">
        <f>IF(ISNUMBER(SEARCH("Brain",Table1[[#This Row],[ROI]],1)),"Brain",IF(ISNUMBER(SEARCH("Muscle",Table1[[#This Row],[ROI]],1)),"Muscle","Noise"))</f>
        <v>Muscle</v>
      </c>
      <c r="F338">
        <v>4565.0769</v>
      </c>
      <c r="G338">
        <v>1649.1532</v>
      </c>
    </row>
    <row r="339" spans="1:7" x14ac:dyDescent="0.3">
      <c r="A339" t="s">
        <v>359</v>
      </c>
      <c r="B339">
        <v>11</v>
      </c>
      <c r="C339" t="s">
        <v>382</v>
      </c>
      <c r="D339" t="s">
        <v>195</v>
      </c>
      <c r="E339" t="str">
        <f>IF(ISNUMBER(SEARCH("Brain",Table1[[#This Row],[ROI]],1)),"Brain",IF(ISNUMBER(SEARCH("Muscle",Table1[[#This Row],[ROI]],1)),"Muscle","Noise"))</f>
        <v>Muscle</v>
      </c>
      <c r="F339">
        <v>5337.8194000000003</v>
      </c>
      <c r="G339">
        <v>452.82060000000001</v>
      </c>
    </row>
    <row r="340" spans="1:7" x14ac:dyDescent="0.3">
      <c r="A340" t="s">
        <v>360</v>
      </c>
      <c r="B340">
        <v>11</v>
      </c>
      <c r="C340" t="s">
        <v>382</v>
      </c>
      <c r="D340" t="s">
        <v>196</v>
      </c>
      <c r="E340" t="str">
        <f>IF(ISNUMBER(SEARCH("Brain",Table1[[#This Row],[ROI]],1)),"Brain",IF(ISNUMBER(SEARCH("Muscle",Table1[[#This Row],[ROI]],1)),"Muscle","Noise"))</f>
        <v>Muscle</v>
      </c>
      <c r="F340">
        <v>5326.5088999999998</v>
      </c>
      <c r="G340">
        <v>567.07830000000001</v>
      </c>
    </row>
    <row r="341" spans="1:7" x14ac:dyDescent="0.3">
      <c r="A341" t="s">
        <v>361</v>
      </c>
      <c r="B341">
        <v>11</v>
      </c>
      <c r="C341" t="s">
        <v>382</v>
      </c>
      <c r="D341" t="s">
        <v>197</v>
      </c>
      <c r="E341" t="str">
        <f>IF(ISNUMBER(SEARCH("Brain",Table1[[#This Row],[ROI]],1)),"Brain",IF(ISNUMBER(SEARCH("Muscle",Table1[[#This Row],[ROI]],1)),"Muscle","Noise"))</f>
        <v>Muscle</v>
      </c>
      <c r="F341">
        <v>4702.6814999999997</v>
      </c>
      <c r="G341">
        <v>892.70630000000006</v>
      </c>
    </row>
    <row r="342" spans="1:7" x14ac:dyDescent="0.3">
      <c r="A342" t="s">
        <v>362</v>
      </c>
      <c r="B342">
        <v>11</v>
      </c>
      <c r="C342" t="s">
        <v>382</v>
      </c>
      <c r="D342" t="s">
        <v>9</v>
      </c>
      <c r="E342" t="str">
        <f>IF(ISNUMBER(SEARCH("Brain",Table1[[#This Row],[ROI]],1)),"Brain",IF(ISNUMBER(SEARCH("Muscle",Table1[[#This Row],[ROI]],1)),"Muscle","Noise"))</f>
        <v>Noise</v>
      </c>
      <c r="F342">
        <v>774.22860000000003</v>
      </c>
      <c r="G342">
        <v>213.6534</v>
      </c>
    </row>
    <row r="343" spans="1:7" x14ac:dyDescent="0.3">
      <c r="A343" t="s">
        <v>363</v>
      </c>
      <c r="B343">
        <v>11</v>
      </c>
      <c r="C343" t="s">
        <v>382</v>
      </c>
      <c r="D343" t="s">
        <v>10</v>
      </c>
      <c r="E343" t="str">
        <f>IF(ISNUMBER(SEARCH("Brain",Table1[[#This Row],[ROI]],1)),"Brain",IF(ISNUMBER(SEARCH("Muscle",Table1[[#This Row],[ROI]],1)),"Muscle","Noise"))</f>
        <v>Noise</v>
      </c>
      <c r="F343">
        <v>737.01589999999999</v>
      </c>
      <c r="G343">
        <v>206.1335</v>
      </c>
    </row>
    <row r="344" spans="1:7" x14ac:dyDescent="0.3">
      <c r="A344" t="s">
        <v>364</v>
      </c>
      <c r="B344">
        <v>11</v>
      </c>
      <c r="C344" t="s">
        <v>382</v>
      </c>
      <c r="D344" t="s">
        <v>11</v>
      </c>
      <c r="E344" t="str">
        <f>IF(ISNUMBER(SEARCH("Brain",Table1[[#This Row],[ROI]],1)),"Brain",IF(ISNUMBER(SEARCH("Muscle",Table1[[#This Row],[ROI]],1)),"Muscle","Noise"))</f>
        <v>Noise</v>
      </c>
      <c r="F344">
        <v>760.42060000000004</v>
      </c>
      <c r="G344">
        <v>222.3364</v>
      </c>
    </row>
    <row r="345" spans="1:7" x14ac:dyDescent="0.3">
      <c r="A345" t="s">
        <v>365</v>
      </c>
      <c r="B345">
        <v>11</v>
      </c>
      <c r="C345" t="s">
        <v>382</v>
      </c>
      <c r="D345" t="s">
        <v>12</v>
      </c>
      <c r="E345" t="str">
        <f>IF(ISNUMBER(SEARCH("Brain",Table1[[#This Row],[ROI]],1)),"Brain",IF(ISNUMBER(SEARCH("Muscle",Table1[[#This Row],[ROI]],1)),"Muscle","Noise"))</f>
        <v>Noise</v>
      </c>
      <c r="F345">
        <v>766.91070000000002</v>
      </c>
      <c r="G345">
        <v>245.96879999999999</v>
      </c>
    </row>
    <row r="346" spans="1:7" x14ac:dyDescent="0.3">
      <c r="A346" t="s">
        <v>366</v>
      </c>
      <c r="B346">
        <v>11</v>
      </c>
      <c r="C346" t="s">
        <v>382</v>
      </c>
      <c r="D346" t="s">
        <v>198</v>
      </c>
      <c r="E346" t="str">
        <f>IF(ISNUMBER(SEARCH("Brain",Table1[[#This Row],[ROI]],1)),"Brain",IF(ISNUMBER(SEARCH("Muscle",Table1[[#This Row],[ROI]],1)),"Muscle","Noise"))</f>
        <v>Noise</v>
      </c>
      <c r="F346">
        <v>800.83429999999998</v>
      </c>
      <c r="G346">
        <v>230.0154</v>
      </c>
    </row>
    <row r="347" spans="1:7" x14ac:dyDescent="0.3">
      <c r="A347" t="s">
        <v>367</v>
      </c>
      <c r="B347">
        <v>12</v>
      </c>
      <c r="C347" t="s">
        <v>382</v>
      </c>
      <c r="D347" t="s">
        <v>2</v>
      </c>
      <c r="E347" t="str">
        <f>IF(ISNUMBER(SEARCH("Brain",Table1[[#This Row],[ROI]],1)),"Brain",IF(ISNUMBER(SEARCH("Muscle",Table1[[#This Row],[ROI]],1)),"Muscle","Noise"))</f>
        <v>Brain</v>
      </c>
      <c r="F347">
        <v>7763.9213</v>
      </c>
      <c r="G347">
        <v>1359.0550000000001</v>
      </c>
    </row>
    <row r="348" spans="1:7" x14ac:dyDescent="0.3">
      <c r="A348" t="s">
        <v>368</v>
      </c>
      <c r="B348">
        <v>12</v>
      </c>
      <c r="C348" t="s">
        <v>382</v>
      </c>
      <c r="D348" t="s">
        <v>3</v>
      </c>
      <c r="E348" t="str">
        <f>IF(ISNUMBER(SEARCH("Brain",Table1[[#This Row],[ROI]],1)),"Brain",IF(ISNUMBER(SEARCH("Muscle",Table1[[#This Row],[ROI]],1)),"Muscle","Noise"))</f>
        <v>Brain</v>
      </c>
      <c r="F348">
        <v>8509.0198999999993</v>
      </c>
      <c r="G348">
        <v>1052.6638</v>
      </c>
    </row>
    <row r="349" spans="1:7" x14ac:dyDescent="0.3">
      <c r="A349" t="s">
        <v>369</v>
      </c>
      <c r="B349">
        <v>12</v>
      </c>
      <c r="C349" t="s">
        <v>382</v>
      </c>
      <c r="D349" t="s">
        <v>4</v>
      </c>
      <c r="E349" t="str">
        <f>IF(ISNUMBER(SEARCH("Brain",Table1[[#This Row],[ROI]],1)),"Brain",IF(ISNUMBER(SEARCH("Muscle",Table1[[#This Row],[ROI]],1)),"Muscle","Noise"))</f>
        <v>Brain</v>
      </c>
      <c r="F349">
        <v>8481.4109000000008</v>
      </c>
      <c r="G349">
        <v>988.60569999999996</v>
      </c>
    </row>
    <row r="350" spans="1:7" x14ac:dyDescent="0.3">
      <c r="A350" t="s">
        <v>370</v>
      </c>
      <c r="B350">
        <v>12</v>
      </c>
      <c r="C350" t="s">
        <v>382</v>
      </c>
      <c r="D350" t="s">
        <v>5</v>
      </c>
      <c r="E350" t="str">
        <f>IF(ISNUMBER(SEARCH("Brain",Table1[[#This Row],[ROI]],1)),"Brain",IF(ISNUMBER(SEARCH("Muscle",Table1[[#This Row],[ROI]],1)),"Muscle","Noise"))</f>
        <v>Brain</v>
      </c>
      <c r="F350">
        <v>8686.3436999999994</v>
      </c>
      <c r="G350">
        <v>866.67639999999994</v>
      </c>
    </row>
    <row r="351" spans="1:7" x14ac:dyDescent="0.3">
      <c r="A351" t="s">
        <v>371</v>
      </c>
      <c r="B351">
        <v>12</v>
      </c>
      <c r="C351" t="s">
        <v>382</v>
      </c>
      <c r="D351" t="s">
        <v>6</v>
      </c>
      <c r="E351" t="str">
        <f>IF(ISNUMBER(SEARCH("Brain",Table1[[#This Row],[ROI]],1)),"Brain",IF(ISNUMBER(SEARCH("Muscle",Table1[[#This Row],[ROI]],1)),"Muscle","Noise"))</f>
        <v>Brain</v>
      </c>
      <c r="F351">
        <v>8699.36</v>
      </c>
      <c r="G351">
        <v>1236.893</v>
      </c>
    </row>
    <row r="352" spans="1:7" x14ac:dyDescent="0.3">
      <c r="A352" t="s">
        <v>372</v>
      </c>
      <c r="B352">
        <v>12</v>
      </c>
      <c r="C352" t="s">
        <v>382</v>
      </c>
      <c r="D352" t="s">
        <v>7</v>
      </c>
      <c r="E352" t="str">
        <f>IF(ISNUMBER(SEARCH("Brain",Table1[[#This Row],[ROI]],1)),"Brain",IF(ISNUMBER(SEARCH("Muscle",Table1[[#This Row],[ROI]],1)),"Muscle","Noise"))</f>
        <v>Muscle</v>
      </c>
      <c r="F352">
        <v>6184.1211999999996</v>
      </c>
      <c r="G352">
        <v>778.74990000000003</v>
      </c>
    </row>
    <row r="353" spans="1:7" x14ac:dyDescent="0.3">
      <c r="A353" t="s">
        <v>373</v>
      </c>
      <c r="B353">
        <v>12</v>
      </c>
      <c r="C353" t="s">
        <v>382</v>
      </c>
      <c r="D353" t="s">
        <v>8</v>
      </c>
      <c r="E353" t="str">
        <f>IF(ISNUMBER(SEARCH("Brain",Table1[[#This Row],[ROI]],1)),"Brain",IF(ISNUMBER(SEARCH("Muscle",Table1[[#This Row],[ROI]],1)),"Muscle","Noise"))</f>
        <v>Muscle</v>
      </c>
      <c r="F353">
        <v>5763.4841999999999</v>
      </c>
      <c r="G353">
        <v>1633.8302000000001</v>
      </c>
    </row>
    <row r="354" spans="1:7" x14ac:dyDescent="0.3">
      <c r="A354" t="s">
        <v>374</v>
      </c>
      <c r="B354">
        <v>12</v>
      </c>
      <c r="C354" t="s">
        <v>382</v>
      </c>
      <c r="D354" t="s">
        <v>195</v>
      </c>
      <c r="E354" t="str">
        <f>IF(ISNUMBER(SEARCH("Brain",Table1[[#This Row],[ROI]],1)),"Brain",IF(ISNUMBER(SEARCH("Muscle",Table1[[#This Row],[ROI]],1)),"Muscle","Noise"))</f>
        <v>Muscle</v>
      </c>
      <c r="F354">
        <v>6277.7569000000003</v>
      </c>
      <c r="G354">
        <v>655.81100000000004</v>
      </c>
    </row>
    <row r="355" spans="1:7" x14ac:dyDescent="0.3">
      <c r="A355" t="s">
        <v>375</v>
      </c>
      <c r="B355">
        <v>12</v>
      </c>
      <c r="C355" t="s">
        <v>382</v>
      </c>
      <c r="D355" t="s">
        <v>196</v>
      </c>
      <c r="E355" t="str">
        <f>IF(ISNUMBER(SEARCH("Brain",Table1[[#This Row],[ROI]],1)),"Brain",IF(ISNUMBER(SEARCH("Muscle",Table1[[#This Row],[ROI]],1)),"Muscle","Noise"))</f>
        <v>Muscle</v>
      </c>
      <c r="F355">
        <v>6388.4970000000003</v>
      </c>
      <c r="G355">
        <v>752.03530000000001</v>
      </c>
    </row>
    <row r="356" spans="1:7" x14ac:dyDescent="0.3">
      <c r="A356" t="s">
        <v>376</v>
      </c>
      <c r="B356">
        <v>12</v>
      </c>
      <c r="C356" t="s">
        <v>382</v>
      </c>
      <c r="D356" t="s">
        <v>197</v>
      </c>
      <c r="E356" t="str">
        <f>IF(ISNUMBER(SEARCH("Brain",Table1[[#This Row],[ROI]],1)),"Brain",IF(ISNUMBER(SEARCH("Muscle",Table1[[#This Row],[ROI]],1)),"Muscle","Noise"))</f>
        <v>Muscle</v>
      </c>
      <c r="F356">
        <v>6533.5944</v>
      </c>
      <c r="G356">
        <v>1028.2727</v>
      </c>
    </row>
    <row r="357" spans="1:7" x14ac:dyDescent="0.3">
      <c r="A357" t="s">
        <v>377</v>
      </c>
      <c r="B357">
        <v>12</v>
      </c>
      <c r="C357" t="s">
        <v>382</v>
      </c>
      <c r="D357" t="s">
        <v>9</v>
      </c>
      <c r="E357" t="str">
        <f>IF(ISNUMBER(SEARCH("Brain",Table1[[#This Row],[ROI]],1)),"Brain",IF(ISNUMBER(SEARCH("Muscle",Table1[[#This Row],[ROI]],1)),"Muscle","Noise"))</f>
        <v>Noise</v>
      </c>
      <c r="F357">
        <v>945.27620000000002</v>
      </c>
      <c r="G357">
        <v>259.16410000000002</v>
      </c>
    </row>
    <row r="358" spans="1:7" x14ac:dyDescent="0.3">
      <c r="A358" t="s">
        <v>378</v>
      </c>
      <c r="B358">
        <v>12</v>
      </c>
      <c r="C358" t="s">
        <v>382</v>
      </c>
      <c r="D358" t="s">
        <v>10</v>
      </c>
      <c r="E358" t="str">
        <f>IF(ISNUMBER(SEARCH("Brain",Table1[[#This Row],[ROI]],1)),"Brain",IF(ISNUMBER(SEARCH("Muscle",Table1[[#This Row],[ROI]],1)),"Muscle","Noise"))</f>
        <v>Noise</v>
      </c>
      <c r="F358">
        <v>912.19050000000004</v>
      </c>
      <c r="G358">
        <v>271.63650000000001</v>
      </c>
    </row>
    <row r="359" spans="1:7" x14ac:dyDescent="0.3">
      <c r="A359" t="s">
        <v>379</v>
      </c>
      <c r="B359">
        <v>12</v>
      </c>
      <c r="C359" t="s">
        <v>382</v>
      </c>
      <c r="D359" t="s">
        <v>11</v>
      </c>
      <c r="E359" t="str">
        <f>IF(ISNUMBER(SEARCH("Brain",Table1[[#This Row],[ROI]],1)),"Brain",IF(ISNUMBER(SEARCH("Muscle",Table1[[#This Row],[ROI]],1)),"Muscle","Noise"))</f>
        <v>Noise</v>
      </c>
      <c r="F359">
        <v>871.38689999999997</v>
      </c>
      <c r="G359">
        <v>224.5617</v>
      </c>
    </row>
    <row r="360" spans="1:7" x14ac:dyDescent="0.3">
      <c r="A360" t="s">
        <v>380</v>
      </c>
      <c r="B360">
        <v>12</v>
      </c>
      <c r="C360" t="s">
        <v>382</v>
      </c>
      <c r="D360" t="s">
        <v>12</v>
      </c>
      <c r="E360" t="str">
        <f>IF(ISNUMBER(SEARCH("Brain",Table1[[#This Row],[ROI]],1)),"Brain",IF(ISNUMBER(SEARCH("Muscle",Table1[[#This Row],[ROI]],1)),"Muscle","Noise"))</f>
        <v>Noise</v>
      </c>
      <c r="F360">
        <v>878.41669999999999</v>
      </c>
      <c r="G360">
        <v>217.68270000000001</v>
      </c>
    </row>
    <row r="361" spans="1:7" x14ac:dyDescent="0.3">
      <c r="A361" t="s">
        <v>381</v>
      </c>
      <c r="B361">
        <v>12</v>
      </c>
      <c r="C361" t="s">
        <v>382</v>
      </c>
      <c r="D361" t="s">
        <v>198</v>
      </c>
      <c r="E361" t="str">
        <f>IF(ISNUMBER(SEARCH("Brain",Table1[[#This Row],[ROI]],1)),"Brain",IF(ISNUMBER(SEARCH("Muscle",Table1[[#This Row],[ROI]],1)),"Muscle","Noise"))</f>
        <v>Noise</v>
      </c>
      <c r="F361">
        <v>952.22490000000005</v>
      </c>
      <c r="G361">
        <v>326.23700000000002</v>
      </c>
    </row>
  </sheetData>
  <phoneticPr fontId="2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8DF2-56FF-48FF-9C28-B4446AC18BC7}">
  <dimension ref="A1:K73"/>
  <sheetViews>
    <sheetView tabSelected="1" workbookViewId="0">
      <selection activeCell="L11" sqref="L11"/>
    </sheetView>
  </sheetViews>
  <sheetFormatPr defaultRowHeight="14.4" x14ac:dyDescent="0.3"/>
  <cols>
    <col min="1" max="1" width="34.88671875" bestFit="1" customWidth="1"/>
    <col min="2" max="2" width="4.6640625" customWidth="1"/>
    <col min="3" max="3" width="6.77734375" bestFit="1" customWidth="1"/>
    <col min="4" max="4" width="6.77734375" customWidth="1"/>
    <col min="11" max="11" width="7.5546875" customWidth="1"/>
  </cols>
  <sheetData>
    <row r="1" spans="1:11" x14ac:dyDescent="0.3">
      <c r="A1" s="1" t="s">
        <v>0</v>
      </c>
      <c r="B1" s="1" t="s">
        <v>199</v>
      </c>
      <c r="C1" s="1" t="s">
        <v>1</v>
      </c>
      <c r="D1" s="1" t="s">
        <v>465</v>
      </c>
      <c r="E1" s="1" t="s">
        <v>459</v>
      </c>
      <c r="F1" s="1" t="s">
        <v>460</v>
      </c>
      <c r="G1" s="1" t="s">
        <v>461</v>
      </c>
      <c r="H1" s="1" t="s">
        <v>462</v>
      </c>
    </row>
    <row r="2" spans="1:11" x14ac:dyDescent="0.3">
      <c r="A2" t="s">
        <v>386</v>
      </c>
      <c r="B2">
        <v>1</v>
      </c>
      <c r="C2" t="s">
        <v>458</v>
      </c>
      <c r="D2" t="s">
        <v>463</v>
      </c>
      <c r="E2">
        <v>935.44</v>
      </c>
      <c r="F2">
        <v>279.72000000000003</v>
      </c>
      <c r="G2">
        <f t="shared" ref="G2:G25" si="0">E2/F2</f>
        <v>3.3442013442013439</v>
      </c>
      <c r="H2">
        <f t="shared" ref="H2:H25" si="1">F2/F2</f>
        <v>1</v>
      </c>
    </row>
    <row r="3" spans="1:11" x14ac:dyDescent="0.3">
      <c r="A3" t="s">
        <v>389</v>
      </c>
      <c r="B3">
        <v>2</v>
      </c>
      <c r="C3" t="s">
        <v>458</v>
      </c>
      <c r="D3" t="s">
        <v>463</v>
      </c>
      <c r="E3">
        <v>824.33</v>
      </c>
      <c r="F3">
        <v>248.96</v>
      </c>
      <c r="G3">
        <f t="shared" si="0"/>
        <v>3.3110941516709511</v>
      </c>
      <c r="H3">
        <f t="shared" si="1"/>
        <v>1</v>
      </c>
    </row>
    <row r="4" spans="1:11" x14ac:dyDescent="0.3">
      <c r="A4" t="s">
        <v>392</v>
      </c>
      <c r="B4">
        <v>3</v>
      </c>
      <c r="C4" t="s">
        <v>458</v>
      </c>
      <c r="D4" t="s">
        <v>463</v>
      </c>
      <c r="E4">
        <v>1251.78</v>
      </c>
      <c r="F4">
        <v>670.23</v>
      </c>
      <c r="G4">
        <f t="shared" si="0"/>
        <v>1.8676872118526475</v>
      </c>
      <c r="H4">
        <f t="shared" si="1"/>
        <v>1</v>
      </c>
      <c r="K4" s="1"/>
    </row>
    <row r="5" spans="1:11" x14ac:dyDescent="0.3">
      <c r="A5" t="s">
        <v>395</v>
      </c>
      <c r="B5">
        <v>4</v>
      </c>
      <c r="C5" t="s">
        <v>458</v>
      </c>
      <c r="D5" t="s">
        <v>463</v>
      </c>
      <c r="E5">
        <v>883.38</v>
      </c>
      <c r="F5">
        <v>244.5</v>
      </c>
      <c r="G5">
        <f t="shared" si="0"/>
        <v>3.613006134969325</v>
      </c>
      <c r="H5">
        <f t="shared" si="1"/>
        <v>1</v>
      </c>
      <c r="K5" s="2"/>
    </row>
    <row r="6" spans="1:11" x14ac:dyDescent="0.3">
      <c r="A6" t="s">
        <v>398</v>
      </c>
      <c r="B6">
        <v>5</v>
      </c>
      <c r="C6" t="s">
        <v>458</v>
      </c>
      <c r="D6" t="s">
        <v>463</v>
      </c>
      <c r="E6">
        <v>819.57</v>
      </c>
      <c r="F6">
        <v>238.6</v>
      </c>
      <c r="G6">
        <f t="shared" si="0"/>
        <v>3.4349119865884328</v>
      </c>
      <c r="H6">
        <f t="shared" si="1"/>
        <v>1</v>
      </c>
    </row>
    <row r="7" spans="1:11" x14ac:dyDescent="0.3">
      <c r="A7" t="s">
        <v>401</v>
      </c>
      <c r="B7">
        <v>6</v>
      </c>
      <c r="C7" t="s">
        <v>458</v>
      </c>
      <c r="D7" t="s">
        <v>463</v>
      </c>
      <c r="E7">
        <v>879.75</v>
      </c>
      <c r="F7">
        <v>237.42</v>
      </c>
      <c r="G7">
        <f t="shared" si="0"/>
        <v>3.7054586808188024</v>
      </c>
      <c r="H7">
        <f t="shared" si="1"/>
        <v>1</v>
      </c>
    </row>
    <row r="8" spans="1:11" x14ac:dyDescent="0.3">
      <c r="A8" t="s">
        <v>404</v>
      </c>
      <c r="B8">
        <v>7</v>
      </c>
      <c r="C8" t="s">
        <v>458</v>
      </c>
      <c r="D8" t="s">
        <v>463</v>
      </c>
      <c r="E8">
        <v>861.73</v>
      </c>
      <c r="F8">
        <v>262.11</v>
      </c>
      <c r="G8">
        <f t="shared" si="0"/>
        <v>3.2876654839571171</v>
      </c>
      <c r="H8">
        <f t="shared" si="1"/>
        <v>1</v>
      </c>
    </row>
    <row r="9" spans="1:11" x14ac:dyDescent="0.3">
      <c r="A9" t="s">
        <v>407</v>
      </c>
      <c r="B9">
        <v>8</v>
      </c>
      <c r="C9" t="s">
        <v>458</v>
      </c>
      <c r="D9" t="s">
        <v>463</v>
      </c>
      <c r="E9">
        <v>810.59</v>
      </c>
      <c r="F9">
        <v>231.11</v>
      </c>
      <c r="G9">
        <f t="shared" si="0"/>
        <v>3.5073774393146122</v>
      </c>
      <c r="H9">
        <f t="shared" si="1"/>
        <v>1</v>
      </c>
    </row>
    <row r="10" spans="1:11" x14ac:dyDescent="0.3">
      <c r="A10" t="s">
        <v>410</v>
      </c>
      <c r="B10">
        <v>9</v>
      </c>
      <c r="C10" t="s">
        <v>458</v>
      </c>
      <c r="D10" t="s">
        <v>463</v>
      </c>
      <c r="E10">
        <v>967.03</v>
      </c>
      <c r="F10">
        <v>280.22000000000003</v>
      </c>
      <c r="G10">
        <f t="shared" si="0"/>
        <v>3.4509670972807074</v>
      </c>
      <c r="H10">
        <f t="shared" si="1"/>
        <v>1</v>
      </c>
    </row>
    <row r="11" spans="1:11" x14ac:dyDescent="0.3">
      <c r="A11" t="s">
        <v>413</v>
      </c>
      <c r="B11">
        <v>10</v>
      </c>
      <c r="C11" t="s">
        <v>458</v>
      </c>
      <c r="D11" t="s">
        <v>463</v>
      </c>
      <c r="E11">
        <v>1027.25</v>
      </c>
      <c r="F11">
        <v>288.51</v>
      </c>
      <c r="G11">
        <f t="shared" si="0"/>
        <v>3.5605351634258779</v>
      </c>
      <c r="H11">
        <f t="shared" si="1"/>
        <v>1</v>
      </c>
    </row>
    <row r="12" spans="1:11" x14ac:dyDescent="0.3">
      <c r="A12" t="s">
        <v>416</v>
      </c>
      <c r="B12">
        <v>11</v>
      </c>
      <c r="C12" t="s">
        <v>458</v>
      </c>
      <c r="D12" t="s">
        <v>463</v>
      </c>
      <c r="E12">
        <v>826.44</v>
      </c>
      <c r="F12">
        <v>225.63</v>
      </c>
      <c r="G12">
        <f t="shared" si="0"/>
        <v>3.6628107964366445</v>
      </c>
      <c r="H12">
        <f t="shared" si="1"/>
        <v>1</v>
      </c>
    </row>
    <row r="13" spans="1:11" x14ac:dyDescent="0.3">
      <c r="A13" t="s">
        <v>419</v>
      </c>
      <c r="B13">
        <v>12</v>
      </c>
      <c r="C13" t="s">
        <v>458</v>
      </c>
      <c r="D13" t="s">
        <v>463</v>
      </c>
      <c r="E13">
        <v>790.54</v>
      </c>
      <c r="F13">
        <v>170.18</v>
      </c>
      <c r="G13">
        <f t="shared" si="0"/>
        <v>4.6453167234692678</v>
      </c>
      <c r="H13">
        <f t="shared" si="1"/>
        <v>1</v>
      </c>
    </row>
    <row r="14" spans="1:11" x14ac:dyDescent="0.3">
      <c r="A14" t="s">
        <v>422</v>
      </c>
      <c r="B14">
        <v>1</v>
      </c>
      <c r="C14" t="s">
        <v>458</v>
      </c>
      <c r="D14" t="s">
        <v>464</v>
      </c>
      <c r="E14">
        <v>831.76</v>
      </c>
      <c r="F14">
        <v>256.42</v>
      </c>
      <c r="G14">
        <f t="shared" si="0"/>
        <v>3.2437407378519616</v>
      </c>
      <c r="H14">
        <f t="shared" si="1"/>
        <v>1</v>
      </c>
    </row>
    <row r="15" spans="1:11" x14ac:dyDescent="0.3">
      <c r="A15" t="s">
        <v>425</v>
      </c>
      <c r="B15">
        <v>2</v>
      </c>
      <c r="C15" t="s">
        <v>458</v>
      </c>
      <c r="D15" t="s">
        <v>464</v>
      </c>
      <c r="E15">
        <v>967.11</v>
      </c>
      <c r="F15">
        <v>357.27</v>
      </c>
      <c r="G15">
        <f t="shared" si="0"/>
        <v>2.7069443278192966</v>
      </c>
      <c r="H15">
        <f t="shared" si="1"/>
        <v>1</v>
      </c>
    </row>
    <row r="16" spans="1:11" x14ac:dyDescent="0.3">
      <c r="A16" t="s">
        <v>428</v>
      </c>
      <c r="B16">
        <v>3</v>
      </c>
      <c r="C16" t="s">
        <v>458</v>
      </c>
      <c r="D16" t="s">
        <v>464</v>
      </c>
      <c r="E16">
        <v>876.76</v>
      </c>
      <c r="F16">
        <v>176.61</v>
      </c>
      <c r="G16">
        <f t="shared" si="0"/>
        <v>4.964384802672555</v>
      </c>
      <c r="H16">
        <f t="shared" si="1"/>
        <v>1</v>
      </c>
    </row>
    <row r="17" spans="1:8" x14ac:dyDescent="0.3">
      <c r="A17" t="s">
        <v>431</v>
      </c>
      <c r="B17">
        <v>4</v>
      </c>
      <c r="C17" t="s">
        <v>458</v>
      </c>
      <c r="D17" t="s">
        <v>464</v>
      </c>
      <c r="E17">
        <v>726.2</v>
      </c>
      <c r="F17">
        <v>197.4</v>
      </c>
      <c r="G17">
        <f t="shared" si="0"/>
        <v>3.6788247213779131</v>
      </c>
      <c r="H17">
        <f t="shared" si="1"/>
        <v>1</v>
      </c>
    </row>
    <row r="18" spans="1:8" x14ac:dyDescent="0.3">
      <c r="A18" t="s">
        <v>434</v>
      </c>
      <c r="B18">
        <v>5</v>
      </c>
      <c r="C18" t="s">
        <v>458</v>
      </c>
      <c r="D18" t="s">
        <v>464</v>
      </c>
      <c r="E18">
        <v>1240.07</v>
      </c>
      <c r="F18">
        <v>345.73</v>
      </c>
      <c r="G18">
        <f t="shared" si="0"/>
        <v>3.5868163017383505</v>
      </c>
      <c r="H18">
        <f t="shared" si="1"/>
        <v>1</v>
      </c>
    </row>
    <row r="19" spans="1:8" x14ac:dyDescent="0.3">
      <c r="A19" t="s">
        <v>437</v>
      </c>
      <c r="B19">
        <v>6</v>
      </c>
      <c r="C19" t="s">
        <v>458</v>
      </c>
      <c r="D19" t="s">
        <v>464</v>
      </c>
      <c r="E19">
        <v>856.14</v>
      </c>
      <c r="F19">
        <v>251.82</v>
      </c>
      <c r="G19">
        <f t="shared" si="0"/>
        <v>3.399809387657851</v>
      </c>
      <c r="H19">
        <f t="shared" si="1"/>
        <v>1</v>
      </c>
    </row>
    <row r="20" spans="1:8" x14ac:dyDescent="0.3">
      <c r="A20" t="s">
        <v>440</v>
      </c>
      <c r="B20">
        <v>7</v>
      </c>
      <c r="C20" t="s">
        <v>458</v>
      </c>
      <c r="D20" t="s">
        <v>464</v>
      </c>
      <c r="E20">
        <v>915.11</v>
      </c>
      <c r="F20">
        <v>260.36</v>
      </c>
      <c r="G20">
        <f t="shared" si="0"/>
        <v>3.5147872176985713</v>
      </c>
      <c r="H20">
        <f t="shared" si="1"/>
        <v>1</v>
      </c>
    </row>
    <row r="21" spans="1:8" x14ac:dyDescent="0.3">
      <c r="A21" t="s">
        <v>443</v>
      </c>
      <c r="B21">
        <v>8</v>
      </c>
      <c r="C21" t="s">
        <v>458</v>
      </c>
      <c r="D21" t="s">
        <v>464</v>
      </c>
      <c r="E21">
        <v>871.23</v>
      </c>
      <c r="F21">
        <v>286.76</v>
      </c>
      <c r="G21">
        <f t="shared" si="0"/>
        <v>3.0381852420142281</v>
      </c>
      <c r="H21">
        <f t="shared" si="1"/>
        <v>1</v>
      </c>
    </row>
    <row r="22" spans="1:8" x14ac:dyDescent="0.3">
      <c r="A22" t="s">
        <v>446</v>
      </c>
      <c r="B22">
        <v>9</v>
      </c>
      <c r="C22" t="s">
        <v>458</v>
      </c>
      <c r="D22" t="s">
        <v>464</v>
      </c>
      <c r="E22">
        <v>1096.8699999999999</v>
      </c>
      <c r="F22">
        <v>318.14999999999998</v>
      </c>
      <c r="G22">
        <f t="shared" si="0"/>
        <v>3.4476504793336478</v>
      </c>
      <c r="H22">
        <f t="shared" si="1"/>
        <v>1</v>
      </c>
    </row>
    <row r="23" spans="1:8" x14ac:dyDescent="0.3">
      <c r="A23" t="s">
        <v>449</v>
      </c>
      <c r="B23">
        <v>10</v>
      </c>
      <c r="C23" t="s">
        <v>458</v>
      </c>
      <c r="D23" t="s">
        <v>464</v>
      </c>
      <c r="E23">
        <v>869.17</v>
      </c>
      <c r="F23">
        <v>235.34</v>
      </c>
      <c r="G23">
        <f t="shared" si="0"/>
        <v>3.6932523157984192</v>
      </c>
      <c r="H23">
        <f t="shared" si="1"/>
        <v>1</v>
      </c>
    </row>
    <row r="24" spans="1:8" x14ac:dyDescent="0.3">
      <c r="A24" t="s">
        <v>452</v>
      </c>
      <c r="B24">
        <v>11</v>
      </c>
      <c r="C24" t="s">
        <v>458</v>
      </c>
      <c r="D24" t="s">
        <v>464</v>
      </c>
      <c r="E24">
        <v>744.82</v>
      </c>
      <c r="F24">
        <v>239.12</v>
      </c>
      <c r="G24">
        <f t="shared" si="0"/>
        <v>3.1148377383740384</v>
      </c>
      <c r="H24">
        <f t="shared" si="1"/>
        <v>1</v>
      </c>
    </row>
    <row r="25" spans="1:8" x14ac:dyDescent="0.3">
      <c r="A25" t="s">
        <v>455</v>
      </c>
      <c r="B25">
        <v>12</v>
      </c>
      <c r="C25" t="s">
        <v>458</v>
      </c>
      <c r="D25" t="s">
        <v>464</v>
      </c>
      <c r="E25">
        <v>892.01</v>
      </c>
      <c r="F25">
        <v>208.46</v>
      </c>
      <c r="G25">
        <f t="shared" si="0"/>
        <v>4.2790463398253857</v>
      </c>
      <c r="H25">
        <f t="shared" si="1"/>
        <v>1</v>
      </c>
    </row>
    <row r="26" spans="1:8" x14ac:dyDescent="0.3">
      <c r="A26" t="s">
        <v>385</v>
      </c>
      <c r="B26">
        <v>1</v>
      </c>
      <c r="C26" t="s">
        <v>457</v>
      </c>
      <c r="D26" t="s">
        <v>463</v>
      </c>
      <c r="E26">
        <v>5027.25</v>
      </c>
      <c r="F26">
        <v>583.67999999999995</v>
      </c>
      <c r="G26">
        <f t="shared" ref="G26:G49" si="2">E26/F27</f>
        <v>10.645540403184821</v>
      </c>
      <c r="H26">
        <f t="shared" ref="H26:H49" si="3">F26/F27</f>
        <v>1.235981704218194</v>
      </c>
    </row>
    <row r="27" spans="1:8" x14ac:dyDescent="0.3">
      <c r="A27" t="s">
        <v>388</v>
      </c>
      <c r="B27">
        <v>2</v>
      </c>
      <c r="C27" t="s">
        <v>457</v>
      </c>
      <c r="D27" t="s">
        <v>463</v>
      </c>
      <c r="E27">
        <v>3877.49</v>
      </c>
      <c r="F27">
        <v>472.24</v>
      </c>
      <c r="G27">
        <f t="shared" si="2"/>
        <v>3.2509641827084308</v>
      </c>
      <c r="H27">
        <f t="shared" si="3"/>
        <v>0.39593534106915285</v>
      </c>
    </row>
    <row r="28" spans="1:8" x14ac:dyDescent="0.3">
      <c r="A28" t="s">
        <v>391</v>
      </c>
      <c r="B28">
        <v>3</v>
      </c>
      <c r="C28" t="s">
        <v>457</v>
      </c>
      <c r="D28" t="s">
        <v>463</v>
      </c>
      <c r="E28">
        <v>6019.72</v>
      </c>
      <c r="F28">
        <v>1192.72</v>
      </c>
      <c r="G28">
        <f t="shared" si="2"/>
        <v>8.1652107861754661</v>
      </c>
      <c r="H28">
        <f t="shared" si="3"/>
        <v>1.6178178069556726</v>
      </c>
    </row>
    <row r="29" spans="1:8" x14ac:dyDescent="0.3">
      <c r="A29" t="s">
        <v>394</v>
      </c>
      <c r="B29">
        <v>4</v>
      </c>
      <c r="C29" t="s">
        <v>457</v>
      </c>
      <c r="D29" t="s">
        <v>463</v>
      </c>
      <c r="E29">
        <v>4798.8</v>
      </c>
      <c r="F29">
        <v>737.24</v>
      </c>
      <c r="G29">
        <f t="shared" si="2"/>
        <v>7.8644356675789506</v>
      </c>
      <c r="H29">
        <f t="shared" si="3"/>
        <v>1.2082138350349889</v>
      </c>
    </row>
    <row r="30" spans="1:8" x14ac:dyDescent="0.3">
      <c r="A30" t="s">
        <v>397</v>
      </c>
      <c r="B30">
        <v>5</v>
      </c>
      <c r="C30" t="s">
        <v>457</v>
      </c>
      <c r="D30" t="s">
        <v>463</v>
      </c>
      <c r="E30">
        <v>4303.29</v>
      </c>
      <c r="F30">
        <v>610.19000000000005</v>
      </c>
      <c r="G30">
        <f t="shared" si="2"/>
        <v>9.1760453760368463</v>
      </c>
      <c r="H30">
        <f t="shared" si="3"/>
        <v>1.301128003923492</v>
      </c>
    </row>
    <row r="31" spans="1:8" x14ac:dyDescent="0.3">
      <c r="A31" t="s">
        <v>400</v>
      </c>
      <c r="B31">
        <v>6</v>
      </c>
      <c r="C31" t="s">
        <v>457</v>
      </c>
      <c r="D31" t="s">
        <v>463</v>
      </c>
      <c r="E31">
        <v>4463.4399999999996</v>
      </c>
      <c r="F31">
        <v>468.97</v>
      </c>
      <c r="G31">
        <f t="shared" si="2"/>
        <v>6.8155568110675073</v>
      </c>
      <c r="H31">
        <f t="shared" si="3"/>
        <v>0.71610499473193978</v>
      </c>
    </row>
    <row r="32" spans="1:8" x14ac:dyDescent="0.3">
      <c r="A32" t="s">
        <v>403</v>
      </c>
      <c r="B32">
        <v>7</v>
      </c>
      <c r="C32" t="s">
        <v>457</v>
      </c>
      <c r="D32" t="s">
        <v>463</v>
      </c>
      <c r="E32">
        <v>4025.12</v>
      </c>
      <c r="F32">
        <v>654.89</v>
      </c>
      <c r="G32">
        <f t="shared" si="2"/>
        <v>5.7756668723364566</v>
      </c>
      <c r="H32">
        <f t="shared" si="3"/>
        <v>0.9397052704079436</v>
      </c>
    </row>
    <row r="33" spans="1:8" x14ac:dyDescent="0.3">
      <c r="A33" t="s">
        <v>406</v>
      </c>
      <c r="B33">
        <v>8</v>
      </c>
      <c r="C33" t="s">
        <v>457</v>
      </c>
      <c r="D33" t="s">
        <v>463</v>
      </c>
      <c r="E33">
        <v>4470.34</v>
      </c>
      <c r="F33">
        <v>696.91</v>
      </c>
      <c r="G33">
        <f t="shared" si="2"/>
        <v>6.4590021817341174</v>
      </c>
      <c r="H33">
        <f t="shared" si="3"/>
        <v>1.0069353137507042</v>
      </c>
    </row>
    <row r="34" spans="1:8" x14ac:dyDescent="0.3">
      <c r="A34" t="s">
        <v>409</v>
      </c>
      <c r="B34">
        <v>9</v>
      </c>
      <c r="C34" t="s">
        <v>457</v>
      </c>
      <c r="D34" t="s">
        <v>463</v>
      </c>
      <c r="E34">
        <v>4858.43</v>
      </c>
      <c r="F34">
        <v>692.11</v>
      </c>
      <c r="G34">
        <f t="shared" si="2"/>
        <v>3.6595034723791451</v>
      </c>
      <c r="H34">
        <f t="shared" si="3"/>
        <v>0.52131634051912445</v>
      </c>
    </row>
    <row r="35" spans="1:8" x14ac:dyDescent="0.3">
      <c r="A35" t="s">
        <v>412</v>
      </c>
      <c r="B35">
        <v>10</v>
      </c>
      <c r="C35" t="s">
        <v>457</v>
      </c>
      <c r="D35" t="s">
        <v>463</v>
      </c>
      <c r="E35">
        <v>3571.99</v>
      </c>
      <c r="F35">
        <v>1327.62</v>
      </c>
      <c r="G35">
        <f t="shared" si="2"/>
        <v>5.8934004289721162</v>
      </c>
      <c r="H35">
        <f t="shared" si="3"/>
        <v>2.1904306220095693</v>
      </c>
    </row>
    <row r="36" spans="1:8" x14ac:dyDescent="0.3">
      <c r="A36" t="s">
        <v>415</v>
      </c>
      <c r="B36">
        <v>11</v>
      </c>
      <c r="C36" t="s">
        <v>457</v>
      </c>
      <c r="D36" t="s">
        <v>463</v>
      </c>
      <c r="E36">
        <v>4083.42</v>
      </c>
      <c r="F36">
        <v>606.1</v>
      </c>
      <c r="G36">
        <f t="shared" si="2"/>
        <v>7.010283438342289</v>
      </c>
      <c r="H36">
        <f t="shared" si="3"/>
        <v>1.0405328846847157</v>
      </c>
    </row>
    <row r="37" spans="1:8" x14ac:dyDescent="0.3">
      <c r="A37" t="s">
        <v>418</v>
      </c>
      <c r="B37">
        <v>12</v>
      </c>
      <c r="C37" t="s">
        <v>457</v>
      </c>
      <c r="D37" t="s">
        <v>463</v>
      </c>
      <c r="E37">
        <v>4170.92</v>
      </c>
      <c r="F37">
        <v>582.49</v>
      </c>
      <c r="G37">
        <f t="shared" si="2"/>
        <v>4.9825827260781272</v>
      </c>
      <c r="H37">
        <f t="shared" si="3"/>
        <v>0.69584279058654874</v>
      </c>
    </row>
    <row r="38" spans="1:8" x14ac:dyDescent="0.3">
      <c r="A38" t="s">
        <v>421</v>
      </c>
      <c r="B38">
        <v>1</v>
      </c>
      <c r="C38" t="s">
        <v>457</v>
      </c>
      <c r="D38" t="s">
        <v>464</v>
      </c>
      <c r="E38">
        <v>4420.38</v>
      </c>
      <c r="F38">
        <v>837.1</v>
      </c>
      <c r="G38">
        <f t="shared" si="2"/>
        <v>8.8398760123987596</v>
      </c>
      <c r="H38">
        <f t="shared" si="3"/>
        <v>1.674032596740326</v>
      </c>
    </row>
    <row r="39" spans="1:8" x14ac:dyDescent="0.3">
      <c r="A39" t="s">
        <v>424</v>
      </c>
      <c r="B39">
        <v>2</v>
      </c>
      <c r="C39" t="s">
        <v>457</v>
      </c>
      <c r="D39" t="s">
        <v>464</v>
      </c>
      <c r="E39">
        <v>4104.96</v>
      </c>
      <c r="F39">
        <v>500.05</v>
      </c>
      <c r="G39">
        <f t="shared" si="2"/>
        <v>6.5483433566768232</v>
      </c>
      <c r="H39">
        <f t="shared" si="3"/>
        <v>0.79769330164148866</v>
      </c>
    </row>
    <row r="40" spans="1:8" x14ac:dyDescent="0.3">
      <c r="A40" t="s">
        <v>427</v>
      </c>
      <c r="B40">
        <v>3</v>
      </c>
      <c r="C40" t="s">
        <v>457</v>
      </c>
      <c r="D40" t="s">
        <v>464</v>
      </c>
      <c r="E40">
        <v>4653.72</v>
      </c>
      <c r="F40">
        <v>626.87</v>
      </c>
      <c r="G40">
        <f t="shared" si="2"/>
        <v>6.6232867939029081</v>
      </c>
      <c r="H40">
        <f t="shared" si="3"/>
        <v>0.89217653672629982</v>
      </c>
    </row>
    <row r="41" spans="1:8" x14ac:dyDescent="0.3">
      <c r="A41" t="s">
        <v>430</v>
      </c>
      <c r="B41">
        <v>4</v>
      </c>
      <c r="C41" t="s">
        <v>457</v>
      </c>
      <c r="D41" t="s">
        <v>464</v>
      </c>
      <c r="E41">
        <v>4338.95</v>
      </c>
      <c r="F41">
        <v>702.63</v>
      </c>
      <c r="G41">
        <f t="shared" si="2"/>
        <v>4.4472403013375699</v>
      </c>
      <c r="H41">
        <f t="shared" si="3"/>
        <v>0.72016604315072008</v>
      </c>
    </row>
    <row r="42" spans="1:8" x14ac:dyDescent="0.3">
      <c r="A42" t="s">
        <v>433</v>
      </c>
      <c r="B42">
        <v>5</v>
      </c>
      <c r="C42" t="s">
        <v>457</v>
      </c>
      <c r="D42" t="s">
        <v>464</v>
      </c>
      <c r="E42">
        <v>6105.41</v>
      </c>
      <c r="F42">
        <v>975.65</v>
      </c>
      <c r="G42">
        <f t="shared" si="2"/>
        <v>10.938458506521428</v>
      </c>
      <c r="H42">
        <f t="shared" si="3"/>
        <v>1.7479754908986671</v>
      </c>
    </row>
    <row r="43" spans="1:8" x14ac:dyDescent="0.3">
      <c r="A43" t="s">
        <v>436</v>
      </c>
      <c r="B43">
        <v>6</v>
      </c>
      <c r="C43" t="s">
        <v>457</v>
      </c>
      <c r="D43" t="s">
        <v>464</v>
      </c>
      <c r="E43">
        <v>4862.16</v>
      </c>
      <c r="F43">
        <v>558.16</v>
      </c>
      <c r="G43">
        <f t="shared" si="2"/>
        <v>4.7273823297780284</v>
      </c>
      <c r="H43">
        <f t="shared" si="3"/>
        <v>0.54268796608686354</v>
      </c>
    </row>
    <row r="44" spans="1:8" x14ac:dyDescent="0.3">
      <c r="A44" t="s">
        <v>439</v>
      </c>
      <c r="B44">
        <v>7</v>
      </c>
      <c r="C44" t="s">
        <v>457</v>
      </c>
      <c r="D44" t="s">
        <v>464</v>
      </c>
      <c r="E44">
        <v>5054.47</v>
      </c>
      <c r="F44">
        <v>1028.51</v>
      </c>
      <c r="G44">
        <f t="shared" si="2"/>
        <v>5.6061735378608901</v>
      </c>
      <c r="H44">
        <f t="shared" si="3"/>
        <v>1.1407735223327675</v>
      </c>
    </row>
    <row r="45" spans="1:8" x14ac:dyDescent="0.3">
      <c r="A45" t="s">
        <v>442</v>
      </c>
      <c r="B45">
        <v>8</v>
      </c>
      <c r="C45" t="s">
        <v>457</v>
      </c>
      <c r="D45" t="s">
        <v>464</v>
      </c>
      <c r="E45">
        <v>5828.06</v>
      </c>
      <c r="F45">
        <v>901.59</v>
      </c>
      <c r="G45">
        <f t="shared" si="2"/>
        <v>4.7307985778528172</v>
      </c>
      <c r="H45">
        <f t="shared" si="3"/>
        <v>0.73184570677143368</v>
      </c>
    </row>
    <row r="46" spans="1:8" x14ac:dyDescent="0.3">
      <c r="A46" t="s">
        <v>445</v>
      </c>
      <c r="B46">
        <v>9</v>
      </c>
      <c r="C46" t="s">
        <v>457</v>
      </c>
      <c r="D46" t="s">
        <v>464</v>
      </c>
      <c r="E46">
        <v>6674.84</v>
      </c>
      <c r="F46">
        <v>1231.94</v>
      </c>
      <c r="G46">
        <f t="shared" si="2"/>
        <v>8.0443019668337836</v>
      </c>
      <c r="H46">
        <f t="shared" si="3"/>
        <v>1.4846943694562285</v>
      </c>
    </row>
    <row r="47" spans="1:8" x14ac:dyDescent="0.3">
      <c r="A47" t="s">
        <v>448</v>
      </c>
      <c r="B47">
        <v>10</v>
      </c>
      <c r="C47" t="s">
        <v>457</v>
      </c>
      <c r="D47" t="s">
        <v>464</v>
      </c>
      <c r="E47">
        <v>3487.89</v>
      </c>
      <c r="F47">
        <v>829.76</v>
      </c>
      <c r="G47">
        <f t="shared" si="2"/>
        <v>5.393950172432457</v>
      </c>
      <c r="H47">
        <f t="shared" si="3"/>
        <v>1.2832067797658631</v>
      </c>
    </row>
    <row r="48" spans="1:8" x14ac:dyDescent="0.3">
      <c r="A48" t="s">
        <v>451</v>
      </c>
      <c r="B48">
        <v>11</v>
      </c>
      <c r="C48" t="s">
        <v>457</v>
      </c>
      <c r="D48" t="s">
        <v>464</v>
      </c>
      <c r="E48">
        <v>5300.37</v>
      </c>
      <c r="F48">
        <v>646.63</v>
      </c>
      <c r="G48">
        <f t="shared" si="2"/>
        <v>6.7900359974891424</v>
      </c>
      <c r="H48">
        <f t="shared" si="3"/>
        <v>0.82836499660521901</v>
      </c>
    </row>
    <row r="49" spans="1:8" x14ac:dyDescent="0.3">
      <c r="A49" t="s">
        <v>454</v>
      </c>
      <c r="B49">
        <v>12</v>
      </c>
      <c r="C49" t="s">
        <v>457</v>
      </c>
      <c r="D49" t="s">
        <v>464</v>
      </c>
      <c r="E49">
        <v>6656.4</v>
      </c>
      <c r="F49">
        <v>780.61</v>
      </c>
      <c r="G49">
        <f t="shared" si="2"/>
        <v>8.3830585746130506</v>
      </c>
      <c r="H49">
        <f t="shared" si="3"/>
        <v>0.9830988753573543</v>
      </c>
    </row>
    <row r="50" spans="1:8" x14ac:dyDescent="0.3">
      <c r="A50" t="s">
        <v>384</v>
      </c>
      <c r="B50">
        <v>1</v>
      </c>
      <c r="C50" t="s">
        <v>456</v>
      </c>
      <c r="D50" t="s">
        <v>463</v>
      </c>
      <c r="E50">
        <v>7604.85</v>
      </c>
      <c r="F50">
        <v>794.03</v>
      </c>
      <c r="G50">
        <f t="shared" ref="G50:G73" si="4">E50/F52</f>
        <v>5.4361127988848779</v>
      </c>
      <c r="H50">
        <f t="shared" ref="H50:H73" si="5">F50/F52</f>
        <v>0.56758997819793411</v>
      </c>
    </row>
    <row r="51" spans="1:8" x14ac:dyDescent="0.3">
      <c r="A51" t="s">
        <v>387</v>
      </c>
      <c r="B51">
        <v>2</v>
      </c>
      <c r="C51" t="s">
        <v>456</v>
      </c>
      <c r="D51" t="s">
        <v>463</v>
      </c>
      <c r="E51">
        <v>5878.37</v>
      </c>
      <c r="F51">
        <v>625.91999999999996</v>
      </c>
      <c r="G51">
        <f t="shared" si="4"/>
        <v>7.4865573937518297</v>
      </c>
      <c r="H51">
        <f t="shared" si="5"/>
        <v>0.79715737592175129</v>
      </c>
    </row>
    <row r="52" spans="1:8" x14ac:dyDescent="0.3">
      <c r="A52" t="s">
        <v>390</v>
      </c>
      <c r="B52">
        <v>3</v>
      </c>
      <c r="C52" t="s">
        <v>456</v>
      </c>
      <c r="D52" t="s">
        <v>463</v>
      </c>
      <c r="E52">
        <v>9636.5</v>
      </c>
      <c r="F52">
        <v>1398.95</v>
      </c>
      <c r="G52">
        <f t="shared" si="4"/>
        <v>13.40245615499089</v>
      </c>
      <c r="H52">
        <f t="shared" si="5"/>
        <v>1.9456613955299649</v>
      </c>
    </row>
    <row r="53" spans="1:8" x14ac:dyDescent="0.3">
      <c r="A53" t="s">
        <v>393</v>
      </c>
      <c r="B53">
        <v>4</v>
      </c>
      <c r="C53" t="s">
        <v>456</v>
      </c>
      <c r="D53" t="s">
        <v>463</v>
      </c>
      <c r="E53">
        <v>7428.63</v>
      </c>
      <c r="F53">
        <v>785.19</v>
      </c>
      <c r="G53">
        <f t="shared" si="4"/>
        <v>10.226497432579398</v>
      </c>
      <c r="H53">
        <f t="shared" si="5"/>
        <v>1.0809184895582387</v>
      </c>
    </row>
    <row r="54" spans="1:8" x14ac:dyDescent="0.3">
      <c r="A54" t="s">
        <v>396</v>
      </c>
      <c r="B54">
        <v>5</v>
      </c>
      <c r="C54" t="s">
        <v>456</v>
      </c>
      <c r="D54" t="s">
        <v>463</v>
      </c>
      <c r="E54">
        <v>6756.73</v>
      </c>
      <c r="F54">
        <v>719.01</v>
      </c>
      <c r="G54">
        <f t="shared" si="4"/>
        <v>9.8236842105263165</v>
      </c>
      <c r="H54">
        <f t="shared" si="5"/>
        <v>1.0453765629543472</v>
      </c>
    </row>
    <row r="55" spans="1:8" x14ac:dyDescent="0.3">
      <c r="A55" t="s">
        <v>399</v>
      </c>
      <c r="B55">
        <v>6</v>
      </c>
      <c r="C55" t="s">
        <v>456</v>
      </c>
      <c r="D55" t="s">
        <v>463</v>
      </c>
      <c r="E55">
        <v>6912.99</v>
      </c>
      <c r="F55">
        <v>726.41</v>
      </c>
      <c r="G55">
        <f t="shared" si="4"/>
        <v>9.4299335688660317</v>
      </c>
      <c r="H55">
        <f t="shared" si="5"/>
        <v>0.99088788552565166</v>
      </c>
    </row>
    <row r="56" spans="1:8" x14ac:dyDescent="0.3">
      <c r="A56" t="s">
        <v>402</v>
      </c>
      <c r="B56">
        <v>7</v>
      </c>
      <c r="C56" t="s">
        <v>456</v>
      </c>
      <c r="D56" t="s">
        <v>463</v>
      </c>
      <c r="E56">
        <v>6306.23</v>
      </c>
      <c r="F56">
        <v>687.8</v>
      </c>
      <c r="G56">
        <f t="shared" si="4"/>
        <v>7.7784589197390002</v>
      </c>
      <c r="H56">
        <f t="shared" si="5"/>
        <v>0.84837122099835938</v>
      </c>
    </row>
    <row r="57" spans="1:8" x14ac:dyDescent="0.3">
      <c r="A57" t="s">
        <v>405</v>
      </c>
      <c r="B57">
        <v>8</v>
      </c>
      <c r="C57" t="s">
        <v>456</v>
      </c>
      <c r="D57" t="s">
        <v>463</v>
      </c>
      <c r="E57">
        <v>6991.68</v>
      </c>
      <c r="F57">
        <v>733.09</v>
      </c>
      <c r="G57">
        <f t="shared" si="4"/>
        <v>7.0887246403260642</v>
      </c>
      <c r="H57">
        <f t="shared" si="5"/>
        <v>0.7432653019841633</v>
      </c>
    </row>
    <row r="58" spans="1:8" x14ac:dyDescent="0.3">
      <c r="A58" t="s">
        <v>408</v>
      </c>
      <c r="B58">
        <v>9</v>
      </c>
      <c r="C58" t="s">
        <v>456</v>
      </c>
      <c r="D58" t="s">
        <v>463</v>
      </c>
      <c r="E58">
        <v>7580.16</v>
      </c>
      <c r="F58">
        <v>810.73</v>
      </c>
      <c r="G58">
        <f t="shared" si="4"/>
        <v>10.741639269924045</v>
      </c>
      <c r="H58">
        <f t="shared" si="5"/>
        <v>1.1488635075388278</v>
      </c>
    </row>
    <row r="59" spans="1:8" x14ac:dyDescent="0.3">
      <c r="A59" t="s">
        <v>411</v>
      </c>
      <c r="B59">
        <v>10</v>
      </c>
      <c r="C59" t="s">
        <v>456</v>
      </c>
      <c r="D59" t="s">
        <v>463</v>
      </c>
      <c r="E59">
        <v>7223.63</v>
      </c>
      <c r="F59">
        <v>986.31</v>
      </c>
      <c r="G59">
        <f t="shared" si="4"/>
        <v>9.3867014917615261</v>
      </c>
      <c r="H59">
        <f t="shared" si="5"/>
        <v>1.2816544518945892</v>
      </c>
    </row>
    <row r="60" spans="1:8" x14ac:dyDescent="0.3">
      <c r="A60" t="s">
        <v>414</v>
      </c>
      <c r="B60">
        <v>11</v>
      </c>
      <c r="C60" t="s">
        <v>456</v>
      </c>
      <c r="D60" t="s">
        <v>463</v>
      </c>
      <c r="E60">
        <v>6308.88</v>
      </c>
      <c r="F60">
        <v>705.68</v>
      </c>
      <c r="G60">
        <f t="shared" si="4"/>
        <v>6.9368753229903133</v>
      </c>
      <c r="H60">
        <f t="shared" si="5"/>
        <v>0.77592443950872481</v>
      </c>
    </row>
    <row r="61" spans="1:8" x14ac:dyDescent="0.3">
      <c r="A61" t="s">
        <v>417</v>
      </c>
      <c r="B61">
        <v>12</v>
      </c>
      <c r="C61" t="s">
        <v>456</v>
      </c>
      <c r="D61" t="s">
        <v>463</v>
      </c>
      <c r="E61">
        <v>6824.02</v>
      </c>
      <c r="F61">
        <v>769.56</v>
      </c>
      <c r="G61">
        <f t="shared" si="4"/>
        <v>8.3389586108293727</v>
      </c>
      <c r="H61">
        <f t="shared" si="5"/>
        <v>0.94040301589823161</v>
      </c>
    </row>
    <row r="62" spans="1:8" x14ac:dyDescent="0.3">
      <c r="A62" t="s">
        <v>420</v>
      </c>
      <c r="B62">
        <v>1</v>
      </c>
      <c r="C62" t="s">
        <v>456</v>
      </c>
      <c r="D62" t="s">
        <v>464</v>
      </c>
      <c r="E62">
        <v>7228.11</v>
      </c>
      <c r="F62">
        <v>909.47</v>
      </c>
      <c r="G62">
        <f t="shared" si="4"/>
        <v>7.1625014863847163</v>
      </c>
      <c r="H62">
        <f t="shared" si="5"/>
        <v>0.90121487177454518</v>
      </c>
    </row>
    <row r="63" spans="1:8" x14ac:dyDescent="0.3">
      <c r="A63" t="s">
        <v>423</v>
      </c>
      <c r="B63">
        <v>2</v>
      </c>
      <c r="C63" t="s">
        <v>456</v>
      </c>
      <c r="D63" t="s">
        <v>464</v>
      </c>
      <c r="E63">
        <v>6575.88</v>
      </c>
      <c r="F63">
        <v>818.33</v>
      </c>
      <c r="G63">
        <f t="shared" si="4"/>
        <v>7.1062169726703912</v>
      </c>
      <c r="H63">
        <f t="shared" si="5"/>
        <v>0.8843273501410247</v>
      </c>
    </row>
    <row r="64" spans="1:8" x14ac:dyDescent="0.3">
      <c r="A64" t="s">
        <v>426</v>
      </c>
      <c r="B64">
        <v>3</v>
      </c>
      <c r="C64" t="s">
        <v>456</v>
      </c>
      <c r="D64" t="s">
        <v>464</v>
      </c>
      <c r="E64">
        <v>7297.27</v>
      </c>
      <c r="F64">
        <v>1009.16</v>
      </c>
      <c r="G64">
        <f t="shared" si="4"/>
        <v>7.1105470348644602</v>
      </c>
      <c r="H64">
        <f t="shared" si="5"/>
        <v>0.98333755578508364</v>
      </c>
    </row>
    <row r="65" spans="1:8" x14ac:dyDescent="0.3">
      <c r="A65" t="s">
        <v>429</v>
      </c>
      <c r="B65">
        <v>4</v>
      </c>
      <c r="C65" t="s">
        <v>456</v>
      </c>
      <c r="D65" t="s">
        <v>464</v>
      </c>
      <c r="E65">
        <v>6888.34</v>
      </c>
      <c r="F65">
        <v>925.37</v>
      </c>
      <c r="G65">
        <f t="shared" si="4"/>
        <v>9.1450685713527076</v>
      </c>
      <c r="H65">
        <f t="shared" si="5"/>
        <v>1.2285357726059769</v>
      </c>
    </row>
    <row r="66" spans="1:8" x14ac:dyDescent="0.3">
      <c r="A66" t="s">
        <v>432</v>
      </c>
      <c r="B66">
        <v>5</v>
      </c>
      <c r="C66" t="s">
        <v>456</v>
      </c>
      <c r="D66" t="s">
        <v>464</v>
      </c>
      <c r="E66">
        <v>9279.2999999999993</v>
      </c>
      <c r="F66">
        <v>1026.26</v>
      </c>
      <c r="G66">
        <f t="shared" si="4"/>
        <v>7.5925410748183531</v>
      </c>
      <c r="H66">
        <f t="shared" si="5"/>
        <v>0.83971002160109964</v>
      </c>
    </row>
    <row r="67" spans="1:8" x14ac:dyDescent="0.3">
      <c r="A67" t="s">
        <v>435</v>
      </c>
      <c r="B67">
        <v>6</v>
      </c>
      <c r="C67" t="s">
        <v>456</v>
      </c>
      <c r="D67" t="s">
        <v>464</v>
      </c>
      <c r="E67">
        <v>7178.84</v>
      </c>
      <c r="F67">
        <v>753.23</v>
      </c>
      <c r="G67">
        <f t="shared" si="4"/>
        <v>5.5401261006798945</v>
      </c>
      <c r="H67">
        <f t="shared" si="5"/>
        <v>0.5812901781924541</v>
      </c>
    </row>
    <row r="68" spans="1:8" x14ac:dyDescent="0.3">
      <c r="A68" t="s">
        <v>438</v>
      </c>
      <c r="B68">
        <v>7</v>
      </c>
      <c r="C68" t="s">
        <v>456</v>
      </c>
      <c r="D68" t="s">
        <v>464</v>
      </c>
      <c r="E68">
        <v>8224.75</v>
      </c>
      <c r="F68">
        <v>1222.1600000000001</v>
      </c>
      <c r="G68">
        <f t="shared" si="4"/>
        <v>5.1541917856292381</v>
      </c>
      <c r="H68">
        <f t="shared" si="5"/>
        <v>0.76588917994159456</v>
      </c>
    </row>
    <row r="69" spans="1:8" x14ac:dyDescent="0.3">
      <c r="A69" t="s">
        <v>441</v>
      </c>
      <c r="B69">
        <v>8</v>
      </c>
      <c r="C69" t="s">
        <v>456</v>
      </c>
      <c r="D69" t="s">
        <v>464</v>
      </c>
      <c r="E69">
        <v>8629.66</v>
      </c>
      <c r="F69">
        <v>1295.79</v>
      </c>
      <c r="G69">
        <f t="shared" si="4"/>
        <v>5.8306937650333772</v>
      </c>
      <c r="H69">
        <f t="shared" si="5"/>
        <v>0.87551012134807171</v>
      </c>
    </row>
    <row r="70" spans="1:8" x14ac:dyDescent="0.3">
      <c r="A70" t="s">
        <v>444</v>
      </c>
      <c r="B70">
        <v>9</v>
      </c>
      <c r="C70" t="s">
        <v>456</v>
      </c>
      <c r="D70" t="s">
        <v>464</v>
      </c>
      <c r="E70">
        <v>10356.379999999999</v>
      </c>
      <c r="F70">
        <v>1595.74</v>
      </c>
      <c r="G70">
        <f t="shared" si="4"/>
        <v>9.197413877319029</v>
      </c>
      <c r="H70">
        <f t="shared" si="5"/>
        <v>1.4171632578751521</v>
      </c>
    </row>
    <row r="71" spans="1:8" x14ac:dyDescent="0.3">
      <c r="A71" t="s">
        <v>447</v>
      </c>
      <c r="B71">
        <v>10</v>
      </c>
      <c r="C71" t="s">
        <v>456</v>
      </c>
      <c r="D71" t="s">
        <v>464</v>
      </c>
      <c r="E71">
        <v>6994.98</v>
      </c>
      <c r="F71">
        <v>1480.04</v>
      </c>
      <c r="G71">
        <f t="shared" si="4"/>
        <v>4.9947374809885252</v>
      </c>
      <c r="H71">
        <f t="shared" si="5"/>
        <v>1.0568166401279571</v>
      </c>
    </row>
    <row r="72" spans="1:8" x14ac:dyDescent="0.3">
      <c r="A72" t="s">
        <v>450</v>
      </c>
      <c r="B72">
        <v>11</v>
      </c>
      <c r="C72" t="s">
        <v>456</v>
      </c>
      <c r="D72" t="s">
        <v>464</v>
      </c>
      <c r="E72">
        <v>7585.62</v>
      </c>
      <c r="F72">
        <v>1126.01</v>
      </c>
      <c r="G72" t="e">
        <f t="shared" si="4"/>
        <v>#DIV/0!</v>
      </c>
      <c r="H72" t="e">
        <f t="shared" si="5"/>
        <v>#DIV/0!</v>
      </c>
    </row>
    <row r="73" spans="1:8" x14ac:dyDescent="0.3">
      <c r="A73" t="s">
        <v>453</v>
      </c>
      <c r="B73">
        <v>12</v>
      </c>
      <c r="C73" t="s">
        <v>456</v>
      </c>
      <c r="D73" t="s">
        <v>464</v>
      </c>
      <c r="E73">
        <v>8685.7199999999993</v>
      </c>
      <c r="F73">
        <v>1400.47</v>
      </c>
      <c r="G73" t="e">
        <f t="shared" si="4"/>
        <v>#DIV/0!</v>
      </c>
      <c r="H73" t="e">
        <f t="shared" si="5"/>
        <v>#DIV/0!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D752-90D7-4485-ABB9-3CA29E65D005}">
  <dimension ref="A1:D25"/>
  <sheetViews>
    <sheetView workbookViewId="0">
      <selection activeCell="I17" sqref="I17"/>
    </sheetView>
  </sheetViews>
  <sheetFormatPr defaultRowHeight="14.4" x14ac:dyDescent="0.3"/>
  <sheetData>
    <row r="1" spans="1:4" x14ac:dyDescent="0.3">
      <c r="A1" s="1" t="s">
        <v>466</v>
      </c>
    </row>
    <row r="2" spans="1:4" x14ac:dyDescent="0.3">
      <c r="A2">
        <v>279.72000000000003</v>
      </c>
    </row>
    <row r="3" spans="1:4" x14ac:dyDescent="0.3">
      <c r="A3">
        <v>248.96</v>
      </c>
      <c r="C3" s="3" cm="1">
        <f t="array" ref="C3">SQRT(AVERAGE(A2:A25^2))</f>
        <v>287.22859213090192</v>
      </c>
      <c r="D3" s="1" t="s">
        <v>467</v>
      </c>
    </row>
    <row r="4" spans="1:4" x14ac:dyDescent="0.3">
      <c r="A4">
        <v>670.23</v>
      </c>
    </row>
    <row r="5" spans="1:4" x14ac:dyDescent="0.3">
      <c r="A5">
        <v>244.5</v>
      </c>
    </row>
    <row r="6" spans="1:4" x14ac:dyDescent="0.3">
      <c r="A6">
        <v>238.6</v>
      </c>
    </row>
    <row r="7" spans="1:4" x14ac:dyDescent="0.3">
      <c r="A7">
        <v>237.42</v>
      </c>
    </row>
    <row r="8" spans="1:4" x14ac:dyDescent="0.3">
      <c r="A8">
        <v>262.11</v>
      </c>
    </row>
    <row r="9" spans="1:4" x14ac:dyDescent="0.3">
      <c r="A9">
        <v>231.11</v>
      </c>
    </row>
    <row r="10" spans="1:4" x14ac:dyDescent="0.3">
      <c r="A10">
        <v>280.22000000000003</v>
      </c>
    </row>
    <row r="11" spans="1:4" x14ac:dyDescent="0.3">
      <c r="A11">
        <v>288.51</v>
      </c>
    </row>
    <row r="12" spans="1:4" x14ac:dyDescent="0.3">
      <c r="A12">
        <v>225.63</v>
      </c>
    </row>
    <row r="13" spans="1:4" x14ac:dyDescent="0.3">
      <c r="A13">
        <v>170.18</v>
      </c>
    </row>
    <row r="14" spans="1:4" x14ac:dyDescent="0.3">
      <c r="A14">
        <v>256.42</v>
      </c>
    </row>
    <row r="15" spans="1:4" x14ac:dyDescent="0.3">
      <c r="A15">
        <v>357.27</v>
      </c>
    </row>
    <row r="16" spans="1:4" x14ac:dyDescent="0.3">
      <c r="A16">
        <v>176.61</v>
      </c>
    </row>
    <row r="17" spans="1:1" x14ac:dyDescent="0.3">
      <c r="A17">
        <v>197.4</v>
      </c>
    </row>
    <row r="18" spans="1:1" x14ac:dyDescent="0.3">
      <c r="A18">
        <v>345.73</v>
      </c>
    </row>
    <row r="19" spans="1:1" x14ac:dyDescent="0.3">
      <c r="A19">
        <v>251.82</v>
      </c>
    </row>
    <row r="20" spans="1:1" x14ac:dyDescent="0.3">
      <c r="A20">
        <v>260.36</v>
      </c>
    </row>
    <row r="21" spans="1:1" x14ac:dyDescent="0.3">
      <c r="A21">
        <v>286.76</v>
      </c>
    </row>
    <row r="22" spans="1:1" x14ac:dyDescent="0.3">
      <c r="A22">
        <v>318.14999999999998</v>
      </c>
    </row>
    <row r="23" spans="1:1" x14ac:dyDescent="0.3">
      <c r="A23">
        <v>235.34</v>
      </c>
    </row>
    <row r="24" spans="1:1" x14ac:dyDescent="0.3">
      <c r="A24">
        <v>239.12</v>
      </c>
    </row>
    <row r="25" spans="1:1" x14ac:dyDescent="0.3">
      <c r="A25">
        <v>208.46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RawROIData</vt:lpstr>
      <vt:lpstr>SNR_Data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Uselman</dc:creator>
  <cp:lastModifiedBy>Taylor Uselman</cp:lastModifiedBy>
  <dcterms:created xsi:type="dcterms:W3CDTF">2015-06-05T18:17:20Z</dcterms:created>
  <dcterms:modified xsi:type="dcterms:W3CDTF">2026-04-07T22:50:04Z</dcterms:modified>
</cp:coreProperties>
</file>