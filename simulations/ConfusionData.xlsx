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E:\Taylor_Uselman\Segmentation_Methods\00_Figures_and_Data\Fig3\SmoothingOptimization\V2\"/>
    </mc:Choice>
  </mc:AlternateContent>
  <xr:revisionPtr revIDLastSave="0" documentId="13_ncr:1_{637C02D1-2867-4BFA-A124-AD7CF023C041}" xr6:coauthVersionLast="47" xr6:coauthVersionMax="47" xr10:uidLastSave="{00000000-0000-0000-0000-000000000000}"/>
  <bookViews>
    <workbookView xWindow="-108" yWindow="-108" windowWidth="23256" windowHeight="12456" xr2:uid="{EB107962-CB3F-4847-8B72-F4AC59F94E5C}"/>
  </bookViews>
  <sheets>
    <sheet name="ConfusionData" sheetId="1" r:id="rId1"/>
    <sheet name="Table" sheetId="4" r:id="rId2"/>
    <sheet name="Table_eFDR" sheetId="5" r:id="rId3"/>
    <sheet name="Smoothness" sheetId="7" r:id="rId4"/>
    <sheet name="Graph" sheetId="3" r:id="rId5"/>
  </sheets>
  <calcPr calcId="191029"/>
  <pivotCaches>
    <pivotCache cacheId="1"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3" i="5" l="1"/>
  <c r="R63" i="5"/>
  <c r="Q64" i="5"/>
  <c r="R64" i="5"/>
  <c r="Q65" i="5"/>
  <c r="R65" i="5"/>
  <c r="Q66" i="5"/>
  <c r="R66" i="5"/>
  <c r="Q67" i="5"/>
  <c r="R67" i="5"/>
  <c r="Q68" i="5"/>
  <c r="R68" i="5"/>
  <c r="Q69" i="5"/>
  <c r="R69" i="5"/>
  <c r="Q70" i="5"/>
  <c r="R70" i="5"/>
  <c r="Q71" i="5"/>
  <c r="R71" i="5"/>
  <c r="Q72" i="5"/>
  <c r="R72" i="5"/>
  <c r="Q73" i="5"/>
  <c r="R73" i="5"/>
  <c r="Q74" i="5"/>
  <c r="R74" i="5"/>
  <c r="Q75" i="5"/>
  <c r="R75" i="5"/>
  <c r="Q76" i="5"/>
  <c r="R76" i="5"/>
  <c r="Q77" i="5"/>
  <c r="R77" i="5"/>
  <c r="Q78" i="5"/>
  <c r="R78" i="5"/>
  <c r="Q79" i="5"/>
  <c r="R79" i="5"/>
  <c r="Q80" i="5"/>
  <c r="R80" i="5"/>
  <c r="Q81" i="5"/>
  <c r="R81" i="5"/>
  <c r="Q82" i="5"/>
  <c r="R82" i="5"/>
  <c r="Q83" i="5"/>
  <c r="R83" i="5"/>
  <c r="Q84" i="5"/>
  <c r="R84" i="5"/>
  <c r="Q85" i="5"/>
  <c r="R85" i="5"/>
  <c r="Q86" i="5"/>
  <c r="R86" i="5"/>
  <c r="Q87" i="5"/>
  <c r="R87" i="5"/>
  <c r="Q88" i="5"/>
  <c r="R88" i="5"/>
  <c r="Q89" i="5"/>
  <c r="R89" i="5"/>
  <c r="Q90" i="5"/>
  <c r="R90" i="5"/>
  <c r="Q91" i="5"/>
  <c r="R91" i="5"/>
  <c r="Q92" i="5"/>
  <c r="R92" i="5"/>
  <c r="Q93" i="5"/>
  <c r="R93" i="5"/>
  <c r="Q94" i="5"/>
  <c r="R94" i="5"/>
  <c r="Q95" i="5"/>
  <c r="R95" i="5"/>
  <c r="Q96" i="5"/>
  <c r="R96" i="5"/>
  <c r="Q97" i="5"/>
  <c r="R97" i="5"/>
  <c r="Q98" i="5"/>
  <c r="R98" i="5"/>
  <c r="Q99" i="5"/>
  <c r="R99" i="5"/>
  <c r="Q100" i="5"/>
  <c r="R100" i="5"/>
  <c r="Q101" i="5"/>
  <c r="R101" i="5"/>
  <c r="Q102" i="5"/>
  <c r="R102" i="5"/>
  <c r="Q103" i="5"/>
  <c r="R103" i="5"/>
  <c r="Q104" i="5"/>
  <c r="R104" i="5"/>
  <c r="Q105" i="5"/>
  <c r="R105" i="5"/>
  <c r="Q106" i="5"/>
  <c r="R106" i="5"/>
  <c r="Q107" i="5"/>
  <c r="R107" i="5"/>
  <c r="Q108" i="5"/>
  <c r="R108" i="5"/>
  <c r="Q109" i="5"/>
  <c r="R109" i="5"/>
  <c r="Q110" i="5"/>
  <c r="R110" i="5"/>
  <c r="R62" i="5"/>
  <c r="Q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62"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61" i="5"/>
  <c r="O61" i="5" a="1"/>
  <c r="O61" i="5" s="1"/>
  <c r="U10" i="7"/>
  <c r="U11" i="7"/>
  <c r="U12" i="7"/>
  <c r="U13" i="7"/>
  <c r="U14" i="7"/>
  <c r="U15" i="7"/>
  <c r="U16" i="7"/>
  <c r="U17" i="7"/>
  <c r="U18" i="7"/>
  <c r="U19" i="7"/>
  <c r="U20" i="7"/>
  <c r="U21" i="7"/>
  <c r="U22" i="7"/>
  <c r="U23" i="7"/>
  <c r="U24" i="7"/>
  <c r="U25" i="7"/>
  <c r="U26" i="7"/>
  <c r="U27" i="7"/>
  <c r="U28" i="7"/>
  <c r="U29" i="7"/>
  <c r="U30" i="7"/>
  <c r="U31" i="7"/>
  <c r="U32" i="7"/>
  <c r="U33" i="7"/>
  <c r="U34" i="7"/>
  <c r="U35" i="7"/>
  <c r="U36" i="7"/>
  <c r="U37" i="7"/>
  <c r="U38" i="7"/>
  <c r="U39" i="7"/>
  <c r="U9" i="7"/>
  <c r="T10" i="7"/>
  <c r="T11" i="7"/>
  <c r="T12" i="7"/>
  <c r="T13" i="7"/>
  <c r="T14" i="7"/>
  <c r="T15" i="7"/>
  <c r="T16" i="7"/>
  <c r="T17" i="7"/>
  <c r="T18" i="7"/>
  <c r="T19" i="7"/>
  <c r="T20" i="7"/>
  <c r="T21" i="7"/>
  <c r="T22" i="7"/>
  <c r="T23" i="7"/>
  <c r="T24" i="7"/>
  <c r="T25" i="7"/>
  <c r="T26" i="7"/>
  <c r="T27" i="7"/>
  <c r="T28" i="7"/>
  <c r="T29" i="7"/>
  <c r="T30" i="7"/>
  <c r="T31" i="7"/>
  <c r="T32" i="7"/>
  <c r="T33" i="7"/>
  <c r="T34" i="7"/>
  <c r="T35" i="7"/>
  <c r="T36" i="7"/>
  <c r="T37" i="7"/>
  <c r="T38" i="7"/>
  <c r="T39" i="7"/>
  <c r="T9" i="7"/>
  <c r="O23" i="7"/>
  <c r="N23" i="7"/>
  <c r="M23" i="7"/>
  <c r="O22" i="7"/>
  <c r="N22" i="7"/>
  <c r="M22" i="7"/>
  <c r="O21" i="7"/>
  <c r="N21" i="7"/>
  <c r="M21" i="7"/>
  <c r="O20" i="7"/>
  <c r="N20" i="7"/>
  <c r="M20" i="7"/>
  <c r="O19" i="7"/>
  <c r="N19" i="7"/>
  <c r="M19" i="7"/>
  <c r="O18" i="7"/>
  <c r="N18" i="7"/>
  <c r="M18" i="7"/>
  <c r="O17" i="7"/>
  <c r="N17" i="7"/>
  <c r="M17" i="7"/>
  <c r="O16" i="7"/>
  <c r="N16" i="7"/>
  <c r="M16" i="7"/>
  <c r="O15" i="7"/>
  <c r="N15" i="7"/>
  <c r="M15" i="7"/>
  <c r="O14" i="7"/>
  <c r="N14" i="7"/>
  <c r="M14" i="7"/>
  <c r="O13" i="7"/>
  <c r="N13" i="7"/>
  <c r="M13" i="7"/>
  <c r="O12" i="7"/>
  <c r="N12" i="7"/>
  <c r="M12" i="7"/>
  <c r="O11" i="7"/>
  <c r="N11" i="7"/>
  <c r="M11" i="7"/>
  <c r="O10" i="7"/>
  <c r="N10" i="7"/>
  <c r="M10" i="7"/>
  <c r="O9" i="7"/>
  <c r="N9" i="7"/>
  <c r="M9" i="7"/>
  <c r="O8" i="7"/>
  <c r="N8" i="7"/>
  <c r="M8" i="7"/>
  <c r="O7" i="7"/>
  <c r="N7" i="7"/>
  <c r="M7" i="7"/>
  <c r="O6" i="7"/>
  <c r="N6" i="7"/>
  <c r="M6" i="7"/>
  <c r="Y26" i="4"/>
  <c r="Y27" i="4"/>
  <c r="Y28" i="4"/>
  <c r="Y29" i="4"/>
  <c r="Y30" i="4"/>
  <c r="Y31" i="4"/>
  <c r="Y32" i="4"/>
  <c r="Y33" i="4"/>
  <c r="Y34" i="4"/>
  <c r="Y35" i="4"/>
  <c r="Y36" i="4"/>
  <c r="Y37" i="4"/>
  <c r="Y38" i="4"/>
  <c r="Y39" i="4"/>
  <c r="X27" i="4"/>
  <c r="X28" i="4"/>
  <c r="X29" i="4"/>
  <c r="X30" i="4"/>
  <c r="X31" i="4"/>
  <c r="X32" i="4"/>
  <c r="X33" i="4"/>
  <c r="X34" i="4"/>
  <c r="X35" i="4"/>
  <c r="X36" i="4"/>
  <c r="X37" i="4"/>
  <c r="X38" i="4"/>
  <c r="X39" i="4"/>
  <c r="X26" i="4"/>
  <c r="S43" i="4"/>
  <c r="S44" i="4"/>
  <c r="S45" i="4"/>
  <c r="S46" i="4"/>
  <c r="S47" i="4"/>
  <c r="S48" i="4"/>
  <c r="S49" i="4"/>
  <c r="S50" i="4"/>
  <c r="S51" i="4"/>
  <c r="S52" i="4"/>
  <c r="S53" i="4"/>
  <c r="S54" i="4"/>
  <c r="S55" i="4"/>
  <c r="S56" i="4"/>
  <c r="S42" i="4"/>
  <c r="Q44" i="4"/>
  <c r="Q45" i="4"/>
  <c r="Q46" i="4"/>
  <c r="Q47" i="4"/>
  <c r="Q48" i="4"/>
  <c r="Q49" i="4"/>
  <c r="Q50" i="4"/>
  <c r="Q51" i="4"/>
  <c r="Q52" i="4"/>
  <c r="Q53" i="4"/>
  <c r="Q54" i="4"/>
  <c r="Q55" i="4"/>
  <c r="Q56" i="4"/>
  <c r="Q43" i="4"/>
  <c r="L5" i="5"/>
  <c r="V27" i="4"/>
  <c r="V28" i="4"/>
  <c r="V29" i="4"/>
  <c r="V30" i="4"/>
  <c r="V31" i="4"/>
  <c r="V32" i="4"/>
  <c r="V33" i="4"/>
  <c r="V34" i="4"/>
  <c r="V35" i="4"/>
  <c r="V36" i="4"/>
  <c r="V37" i="4"/>
  <c r="V38" i="4"/>
  <c r="V39" i="4"/>
  <c r="V26" i="4"/>
  <c r="M19" i="5"/>
  <c r="M27" i="4"/>
  <c r="M26" i="4"/>
  <c r="R52" i="1"/>
  <c r="R51" i="1"/>
  <c r="N52" i="1"/>
  <c r="N51" i="1"/>
  <c r="Q26" i="4"/>
  <c r="Q27" i="4"/>
  <c r="Q28" i="4"/>
  <c r="Q29" i="4"/>
  <c r="Q30" i="4"/>
  <c r="Q31" i="4"/>
  <c r="Q32" i="4"/>
  <c r="Q33" i="4"/>
  <c r="Q34" i="4"/>
  <c r="Q35" i="4"/>
  <c r="Q36" i="4"/>
  <c r="Q37" i="4"/>
  <c r="Q38" i="4"/>
  <c r="Q39" i="4"/>
  <c r="M28" i="4"/>
  <c r="M29" i="4"/>
  <c r="M30" i="4"/>
  <c r="M31" i="4"/>
  <c r="M32" i="4"/>
  <c r="M33" i="4"/>
  <c r="M34" i="4"/>
  <c r="M35" i="4"/>
  <c r="M36" i="4"/>
  <c r="M37" i="4"/>
  <c r="M38" i="4"/>
  <c r="M39" i="4"/>
  <c r="K5" i="5"/>
  <c r="M25" i="5" a="1"/>
  <c r="M25" i="5" s="1"/>
  <c r="M26" i="5" a="1"/>
  <c r="M26" i="5" s="1"/>
  <c r="M27" i="5" a="1"/>
  <c r="M27" i="5" s="1"/>
  <c r="M28" i="5" a="1"/>
  <c r="M28" i="5" s="1"/>
  <c r="M29" i="5" a="1"/>
  <c r="M29" i="5" s="1"/>
  <c r="M30" i="5" a="1"/>
  <c r="M30" i="5"/>
  <c r="M31" i="5" a="1"/>
  <c r="M31" i="5" s="1"/>
  <c r="M32" i="5" a="1"/>
  <c r="M32" i="5" s="1"/>
  <c r="M33" i="5" a="1"/>
  <c r="M33" i="5" s="1"/>
  <c r="M34" i="5" a="1"/>
  <c r="M34" i="5" s="1"/>
  <c r="M35" i="5" a="1"/>
  <c r="M35" i="5" s="1"/>
  <c r="M36" i="5" a="1"/>
  <c r="M36" i="5"/>
  <c r="M37" i="5" a="1"/>
  <c r="M37" i="5" s="1"/>
  <c r="M38" i="5" a="1"/>
  <c r="M38" i="5" s="1"/>
  <c r="M24" i="5" a="1"/>
  <c r="M24" i="5" s="1"/>
  <c r="O10" i="5"/>
  <c r="O15" i="5"/>
  <c r="N16" i="5"/>
  <c r="O16" i="5" s="1"/>
  <c r="N17" i="5"/>
  <c r="O17" i="5" s="1"/>
  <c r="N18" i="5"/>
  <c r="N19" i="5"/>
  <c r="N15" i="5"/>
  <c r="N14" i="5"/>
  <c r="O14" i="5" s="1"/>
  <c r="N11" i="5"/>
  <c r="O11" i="5" s="1"/>
  <c r="N12" i="5"/>
  <c r="O12" i="5" s="1"/>
  <c r="N13" i="5"/>
  <c r="O13" i="5" s="1"/>
  <c r="N10" i="5"/>
  <c r="N6" i="5"/>
  <c r="O6" i="5" s="1"/>
  <c r="N7" i="5"/>
  <c r="O7" i="5" s="1"/>
  <c r="N8" i="5"/>
  <c r="O8" i="5" s="1"/>
  <c r="N9" i="5"/>
  <c r="O9" i="5" s="1"/>
  <c r="N5" i="5"/>
  <c r="O5" i="5" s="1"/>
  <c r="L19" i="5"/>
  <c r="K19" i="5"/>
  <c r="I19" i="5"/>
  <c r="L18" i="5"/>
  <c r="M18" i="5" s="1"/>
  <c r="K18" i="5"/>
  <c r="I18" i="5"/>
  <c r="L17" i="5"/>
  <c r="M17" i="5" s="1"/>
  <c r="K17" i="5"/>
  <c r="I17" i="5"/>
  <c r="L16" i="5"/>
  <c r="M16" i="5" s="1"/>
  <c r="K16" i="5"/>
  <c r="I16" i="5"/>
  <c r="L15" i="5"/>
  <c r="M15" i="5" s="1"/>
  <c r="K15" i="5"/>
  <c r="I15" i="5"/>
  <c r="L14" i="5"/>
  <c r="M14" i="5" s="1"/>
  <c r="K14" i="5"/>
  <c r="I14" i="5"/>
  <c r="L13" i="5"/>
  <c r="M13" i="5" s="1"/>
  <c r="K13" i="5"/>
  <c r="I13" i="5"/>
  <c r="L12" i="5"/>
  <c r="M12" i="5" s="1"/>
  <c r="K12" i="5"/>
  <c r="I12" i="5"/>
  <c r="L11" i="5"/>
  <c r="M11" i="5" s="1"/>
  <c r="K11" i="5"/>
  <c r="I11" i="5"/>
  <c r="L10" i="5"/>
  <c r="M10" i="5" s="1"/>
  <c r="K10" i="5"/>
  <c r="I10" i="5"/>
  <c r="L9" i="5"/>
  <c r="M9" i="5" s="1"/>
  <c r="K9" i="5"/>
  <c r="J9" i="5"/>
  <c r="I9" i="5"/>
  <c r="L8" i="5"/>
  <c r="M8" i="5" s="1"/>
  <c r="K8" i="5"/>
  <c r="J8" i="5"/>
  <c r="I8" i="5"/>
  <c r="L7" i="5"/>
  <c r="M7" i="5" s="1"/>
  <c r="K7" i="5"/>
  <c r="J7" i="5"/>
  <c r="I7" i="5"/>
  <c r="L6" i="5"/>
  <c r="M6" i="5" s="1"/>
  <c r="K6" i="5"/>
  <c r="J6" i="5"/>
  <c r="I6" i="5"/>
  <c r="M5" i="5"/>
  <c r="J5" i="5"/>
  <c r="I5" i="5"/>
  <c r="I16" i="4"/>
  <c r="I17" i="4"/>
  <c r="I18" i="4"/>
  <c r="I19" i="4"/>
  <c r="I15" i="4"/>
  <c r="I11" i="4"/>
  <c r="I12" i="4"/>
  <c r="I13" i="4"/>
  <c r="I14" i="4"/>
  <c r="I10" i="4"/>
  <c r="I5" i="4"/>
  <c r="J6" i="4"/>
  <c r="J7" i="4"/>
  <c r="J8" i="4"/>
  <c r="J9" i="4"/>
  <c r="J5" i="4"/>
  <c r="I6" i="4"/>
  <c r="I7" i="4"/>
  <c r="I8" i="4"/>
  <c r="I9" i="4"/>
  <c r="O19" i="4"/>
  <c r="N19" i="4"/>
  <c r="M19" i="4"/>
  <c r="L19" i="4"/>
  <c r="K19" i="4"/>
  <c r="O18" i="4"/>
  <c r="N18" i="4"/>
  <c r="M18" i="4"/>
  <c r="L18" i="4"/>
  <c r="K18" i="4"/>
  <c r="O17" i="4"/>
  <c r="N17" i="4"/>
  <c r="M17" i="4"/>
  <c r="L17" i="4"/>
  <c r="K17" i="4"/>
  <c r="O16" i="4"/>
  <c r="N16" i="4"/>
  <c r="M16" i="4"/>
  <c r="L16" i="4"/>
  <c r="K16" i="4"/>
  <c r="O15" i="4"/>
  <c r="N15" i="4"/>
  <c r="M15" i="4"/>
  <c r="L15" i="4"/>
  <c r="K15" i="4"/>
  <c r="O14" i="4"/>
  <c r="N14" i="4"/>
  <c r="M14" i="4"/>
  <c r="L14" i="4"/>
  <c r="K14" i="4"/>
  <c r="O13" i="4"/>
  <c r="N13" i="4"/>
  <c r="M13" i="4"/>
  <c r="L13" i="4"/>
  <c r="K13" i="4"/>
  <c r="O12" i="4"/>
  <c r="N12" i="4"/>
  <c r="M12" i="4"/>
  <c r="L12" i="4"/>
  <c r="K12" i="4"/>
  <c r="O11" i="4"/>
  <c r="N11" i="4"/>
  <c r="M11" i="4"/>
  <c r="L11" i="4"/>
  <c r="K11" i="4"/>
  <c r="O10" i="4"/>
  <c r="N10" i="4"/>
  <c r="M10" i="4"/>
  <c r="L10" i="4"/>
  <c r="K10" i="4"/>
  <c r="K6" i="4"/>
  <c r="L6" i="4"/>
  <c r="M6" i="4"/>
  <c r="N6" i="4"/>
  <c r="O6" i="4"/>
  <c r="K7" i="4"/>
  <c r="L7" i="4"/>
  <c r="M7" i="4"/>
  <c r="N7" i="4"/>
  <c r="O7" i="4"/>
  <c r="K8" i="4"/>
  <c r="L8" i="4"/>
  <c r="M8" i="4"/>
  <c r="N8" i="4"/>
  <c r="O8" i="4"/>
  <c r="K9" i="4"/>
  <c r="L9" i="4"/>
  <c r="M9" i="4"/>
  <c r="N9" i="4"/>
  <c r="O9" i="4"/>
  <c r="L5" i="4"/>
  <c r="M5" i="4"/>
  <c r="N5" i="4"/>
  <c r="O5" i="4"/>
  <c r="K5" i="4"/>
  <c r="I17" i="1"/>
  <c r="I18" i="1"/>
  <c r="I21" i="1"/>
  <c r="I19" i="1"/>
  <c r="I20" i="1"/>
  <c r="I22" i="1"/>
  <c r="I23" i="1"/>
  <c r="I26" i="1"/>
  <c r="I24" i="1"/>
  <c r="I25" i="1"/>
  <c r="I27" i="1"/>
  <c r="I28" i="1"/>
  <c r="I31" i="1"/>
  <c r="I29" i="1"/>
  <c r="I30" i="1"/>
  <c r="I32" i="1"/>
  <c r="I33" i="1"/>
  <c r="I36" i="1"/>
  <c r="I34" i="1"/>
  <c r="I35" i="1"/>
  <c r="I37" i="1"/>
  <c r="I38" i="1"/>
  <c r="I41" i="1"/>
  <c r="I39" i="1"/>
  <c r="I40" i="1"/>
  <c r="I42" i="1"/>
  <c r="I43" i="1"/>
  <c r="I46" i="1"/>
  <c r="I44" i="1"/>
  <c r="I45" i="1"/>
  <c r="Q2" i="1"/>
  <c r="X2" i="1" s="1"/>
  <c r="Y2" i="1" s="1"/>
  <c r="Q3" i="1"/>
  <c r="X3" i="1" s="1"/>
  <c r="Y3" i="1" s="1"/>
  <c r="Q6" i="1"/>
  <c r="X6" i="1" s="1"/>
  <c r="Y6" i="1" s="1"/>
  <c r="Q4" i="1"/>
  <c r="X4" i="1" s="1"/>
  <c r="Y4" i="1" s="1"/>
  <c r="Q5" i="1"/>
  <c r="X5" i="1" s="1"/>
  <c r="Y5" i="1" s="1"/>
  <c r="Q7" i="1"/>
  <c r="X7" i="1" s="1"/>
  <c r="Y7" i="1" s="1"/>
  <c r="Q8" i="1"/>
  <c r="X8" i="1" s="1"/>
  <c r="Y8" i="1" s="1"/>
  <c r="Q11" i="1"/>
  <c r="X11" i="1" s="1"/>
  <c r="Y11" i="1" s="1"/>
  <c r="Q9" i="1"/>
  <c r="X9" i="1" s="1"/>
  <c r="Y9" i="1" s="1"/>
  <c r="Q10" i="1"/>
  <c r="X10" i="1" s="1"/>
  <c r="Y10" i="1" s="1"/>
  <c r="Q12" i="1"/>
  <c r="X12" i="1" s="1"/>
  <c r="Y12" i="1" s="1"/>
  <c r="Q13" i="1"/>
  <c r="X13" i="1" s="1"/>
  <c r="Y13" i="1" s="1"/>
  <c r="AK13" i="1" s="1"/>
  <c r="Q16" i="1"/>
  <c r="X16" i="1" s="1"/>
  <c r="Y16" i="1" s="1"/>
  <c r="AK16" i="1" s="1"/>
  <c r="Q14" i="1"/>
  <c r="X14" i="1" s="1"/>
  <c r="Y14" i="1" s="1"/>
  <c r="AK14" i="1" s="1"/>
  <c r="Q15" i="1"/>
  <c r="X15" i="1" s="1"/>
  <c r="Y15" i="1" s="1"/>
  <c r="AK15" i="1" s="1"/>
  <c r="Q17" i="1"/>
  <c r="X17" i="1" s="1"/>
  <c r="Y17" i="1" s="1"/>
  <c r="Q18" i="1"/>
  <c r="X18" i="1" s="1"/>
  <c r="Y18" i="1" s="1"/>
  <c r="Q21" i="1"/>
  <c r="X21" i="1" s="1"/>
  <c r="Y21" i="1" s="1"/>
  <c r="Q19" i="1"/>
  <c r="X19" i="1" s="1"/>
  <c r="Y19" i="1" s="1"/>
  <c r="Q20" i="1"/>
  <c r="X20" i="1" s="1"/>
  <c r="Y20" i="1" s="1"/>
  <c r="Q22" i="1"/>
  <c r="X22" i="1" s="1"/>
  <c r="Y22" i="1" s="1"/>
  <c r="Q23" i="1"/>
  <c r="X23" i="1" s="1"/>
  <c r="Y23" i="1" s="1"/>
  <c r="Q26" i="1"/>
  <c r="X26" i="1" s="1"/>
  <c r="Y26" i="1" s="1"/>
  <c r="Q24" i="1"/>
  <c r="X24" i="1" s="1"/>
  <c r="Y24" i="1" s="1"/>
  <c r="Q25" i="1"/>
  <c r="X25" i="1" s="1"/>
  <c r="Y25" i="1" s="1"/>
  <c r="Q27" i="1"/>
  <c r="X27" i="1" s="1"/>
  <c r="Y27" i="1" s="1"/>
  <c r="Q28" i="1"/>
  <c r="X28" i="1" s="1"/>
  <c r="Y28" i="1" s="1"/>
  <c r="Q31" i="1"/>
  <c r="X31" i="1" s="1"/>
  <c r="Y31" i="1" s="1"/>
  <c r="AK31" i="1" s="1"/>
  <c r="Q29" i="1"/>
  <c r="X29" i="1" s="1"/>
  <c r="Y29" i="1" s="1"/>
  <c r="Q30" i="1"/>
  <c r="X30" i="1" s="1"/>
  <c r="Y30" i="1" s="1"/>
  <c r="Q32" i="1"/>
  <c r="X32" i="1" s="1"/>
  <c r="Y32" i="1" s="1"/>
  <c r="Q33" i="1"/>
  <c r="X33" i="1" s="1"/>
  <c r="Y33" i="1" s="1"/>
  <c r="Q36" i="1"/>
  <c r="X36" i="1" s="1"/>
  <c r="Y36" i="1" s="1"/>
  <c r="Q34" i="1"/>
  <c r="X34" i="1" s="1"/>
  <c r="Y34" i="1" s="1"/>
  <c r="Q35" i="1"/>
  <c r="X35" i="1" s="1"/>
  <c r="Y35" i="1" s="1"/>
  <c r="Q37" i="1"/>
  <c r="X37" i="1" s="1"/>
  <c r="Y37" i="1" s="1"/>
  <c r="Q38" i="1"/>
  <c r="X38" i="1" s="1"/>
  <c r="Y38" i="1" s="1"/>
  <c r="Q41" i="1"/>
  <c r="X41" i="1" s="1"/>
  <c r="Y41" i="1" s="1"/>
  <c r="Q39" i="1"/>
  <c r="X39" i="1" s="1"/>
  <c r="Y39" i="1" s="1"/>
  <c r="Q40" i="1"/>
  <c r="X40" i="1" s="1"/>
  <c r="Y40" i="1" s="1"/>
  <c r="Q42" i="1"/>
  <c r="X42" i="1" s="1"/>
  <c r="Y42" i="1" s="1"/>
  <c r="Q43" i="1"/>
  <c r="X43" i="1" s="1"/>
  <c r="Y43" i="1" s="1"/>
  <c r="Q46" i="1"/>
  <c r="X46" i="1" s="1"/>
  <c r="Y46" i="1" s="1"/>
  <c r="AK46" i="1" s="1"/>
  <c r="Q44" i="1"/>
  <c r="X44" i="1" s="1"/>
  <c r="Y44" i="1" s="1"/>
  <c r="Q45" i="1"/>
  <c r="X45" i="1" s="1"/>
  <c r="Y45" i="1" s="1"/>
  <c r="P2" i="1"/>
  <c r="P3" i="1"/>
  <c r="P6" i="1"/>
  <c r="V6" i="1" s="1"/>
  <c r="W6" i="1" s="1"/>
  <c r="P4" i="1"/>
  <c r="V4" i="1" s="1"/>
  <c r="W4" i="1" s="1"/>
  <c r="P5" i="1"/>
  <c r="V5" i="1" s="1"/>
  <c r="W5" i="1" s="1"/>
  <c r="P7" i="1"/>
  <c r="V7" i="1" s="1"/>
  <c r="W7" i="1" s="1"/>
  <c r="P8" i="1"/>
  <c r="V8" i="1" s="1"/>
  <c r="W8" i="1" s="1"/>
  <c r="P11" i="1"/>
  <c r="V11" i="1" s="1"/>
  <c r="W11" i="1" s="1"/>
  <c r="P9" i="1"/>
  <c r="V9" i="1" s="1"/>
  <c r="W9" i="1" s="1"/>
  <c r="P10" i="1"/>
  <c r="V10" i="1" s="1"/>
  <c r="W10" i="1" s="1"/>
  <c r="P12" i="1"/>
  <c r="V12" i="1" s="1"/>
  <c r="W12" i="1" s="1"/>
  <c r="P13" i="1"/>
  <c r="P16" i="1"/>
  <c r="P14" i="1"/>
  <c r="P15" i="1"/>
  <c r="P17" i="1"/>
  <c r="V17" i="1" s="1"/>
  <c r="W17" i="1" s="1"/>
  <c r="P18" i="1"/>
  <c r="V18" i="1" s="1"/>
  <c r="W18" i="1" s="1"/>
  <c r="P21" i="1"/>
  <c r="V21" i="1" s="1"/>
  <c r="W21" i="1" s="1"/>
  <c r="P19" i="1"/>
  <c r="V19" i="1" s="1"/>
  <c r="W19" i="1" s="1"/>
  <c r="P20" i="1"/>
  <c r="V20" i="1" s="1"/>
  <c r="W20" i="1" s="1"/>
  <c r="P22" i="1"/>
  <c r="V22" i="1" s="1"/>
  <c r="W22" i="1" s="1"/>
  <c r="P23" i="1"/>
  <c r="V23" i="1" s="1"/>
  <c r="W23" i="1" s="1"/>
  <c r="P26" i="1"/>
  <c r="V26" i="1" s="1"/>
  <c r="W26" i="1" s="1"/>
  <c r="P24" i="1"/>
  <c r="V24" i="1" s="1"/>
  <c r="W24" i="1" s="1"/>
  <c r="P25" i="1"/>
  <c r="P27" i="1"/>
  <c r="P28" i="1"/>
  <c r="V28" i="1" s="1"/>
  <c r="W28" i="1" s="1"/>
  <c r="P31" i="1"/>
  <c r="P29" i="1"/>
  <c r="V29" i="1" s="1"/>
  <c r="W29" i="1" s="1"/>
  <c r="P30" i="1"/>
  <c r="V30" i="1" s="1"/>
  <c r="W30" i="1" s="1"/>
  <c r="P32" i="1"/>
  <c r="V32" i="1" s="1"/>
  <c r="W32" i="1" s="1"/>
  <c r="P33" i="1"/>
  <c r="V33" i="1" s="1"/>
  <c r="W33" i="1" s="1"/>
  <c r="P36" i="1"/>
  <c r="V36" i="1" s="1"/>
  <c r="W36" i="1" s="1"/>
  <c r="P34" i="1"/>
  <c r="V34" i="1" s="1"/>
  <c r="W34" i="1" s="1"/>
  <c r="P35" i="1"/>
  <c r="V35" i="1" s="1"/>
  <c r="W35" i="1" s="1"/>
  <c r="P37" i="1"/>
  <c r="V37" i="1" s="1"/>
  <c r="W37" i="1" s="1"/>
  <c r="P38" i="1"/>
  <c r="P41" i="1"/>
  <c r="P39" i="1"/>
  <c r="V39" i="1" s="1"/>
  <c r="W39" i="1" s="1"/>
  <c r="P40" i="1"/>
  <c r="V40" i="1" s="1"/>
  <c r="W40" i="1" s="1"/>
  <c r="P42" i="1"/>
  <c r="V42" i="1" s="1"/>
  <c r="W42" i="1" s="1"/>
  <c r="P43" i="1"/>
  <c r="V43" i="1" s="1"/>
  <c r="W43" i="1" s="1"/>
  <c r="P46" i="1"/>
  <c r="P44" i="1"/>
  <c r="V44" i="1" s="1"/>
  <c r="W44" i="1" s="1"/>
  <c r="P45" i="1"/>
  <c r="V45" i="1" s="1"/>
  <c r="W45" i="1" s="1"/>
  <c r="N2" i="1"/>
  <c r="N3" i="1"/>
  <c r="N6" i="1"/>
  <c r="N4" i="1"/>
  <c r="N5" i="1"/>
  <c r="N7" i="1"/>
  <c r="N8" i="1"/>
  <c r="N11" i="1"/>
  <c r="N9" i="1"/>
  <c r="N10" i="1"/>
  <c r="N12" i="1"/>
  <c r="N13" i="1"/>
  <c r="N16" i="1"/>
  <c r="N14" i="1"/>
  <c r="N15" i="1"/>
  <c r="N17" i="1"/>
  <c r="N18" i="1"/>
  <c r="N21" i="1"/>
  <c r="N19" i="1"/>
  <c r="N20" i="1"/>
  <c r="N22" i="1"/>
  <c r="N23" i="1"/>
  <c r="N26" i="1"/>
  <c r="N24" i="1"/>
  <c r="N25" i="1"/>
  <c r="N27" i="1"/>
  <c r="N28" i="1"/>
  <c r="N31" i="1"/>
  <c r="N29" i="1"/>
  <c r="N30" i="1"/>
  <c r="N32" i="1"/>
  <c r="N33" i="1"/>
  <c r="N36" i="1"/>
  <c r="N34" i="1"/>
  <c r="N35" i="1"/>
  <c r="N37" i="1"/>
  <c r="N38" i="1"/>
  <c r="N41" i="1"/>
  <c r="N39" i="1"/>
  <c r="N40" i="1"/>
  <c r="N42" i="1"/>
  <c r="N43" i="1"/>
  <c r="N46" i="1"/>
  <c r="N44" i="1"/>
  <c r="N45" i="1"/>
  <c r="L2" i="1"/>
  <c r="L3" i="1"/>
  <c r="L6" i="1"/>
  <c r="L4" i="1"/>
  <c r="L5" i="1"/>
  <c r="L7" i="1"/>
  <c r="L8" i="1"/>
  <c r="L11" i="1"/>
  <c r="L9" i="1"/>
  <c r="L10" i="1"/>
  <c r="L12" i="1"/>
  <c r="L13" i="1"/>
  <c r="L16" i="1"/>
  <c r="L14" i="1"/>
  <c r="L15" i="1"/>
  <c r="L17" i="1"/>
  <c r="L18" i="1"/>
  <c r="L21" i="1"/>
  <c r="L19" i="1"/>
  <c r="L20" i="1"/>
  <c r="L22" i="1"/>
  <c r="L23" i="1"/>
  <c r="L26" i="1"/>
  <c r="L24" i="1"/>
  <c r="L25" i="1"/>
  <c r="L27" i="1"/>
  <c r="L28" i="1"/>
  <c r="L31" i="1"/>
  <c r="L29" i="1"/>
  <c r="L30" i="1"/>
  <c r="L32" i="1"/>
  <c r="L33" i="1"/>
  <c r="L36" i="1"/>
  <c r="L34" i="1"/>
  <c r="L35" i="1"/>
  <c r="L37" i="1"/>
  <c r="L38" i="1"/>
  <c r="L41" i="1"/>
  <c r="L39" i="1"/>
  <c r="L40" i="1"/>
  <c r="L42" i="1"/>
  <c r="L43" i="1"/>
  <c r="L46" i="1"/>
  <c r="L44" i="1"/>
  <c r="L45" i="1"/>
  <c r="O19" i="5" l="1"/>
  <c r="O18" i="5"/>
  <c r="L3" i="5"/>
  <c r="AK40" i="1"/>
  <c r="AK17" i="1"/>
  <c r="AK4" i="1"/>
  <c r="AK42" i="1"/>
  <c r="AK29" i="1"/>
  <c r="AK18" i="1"/>
  <c r="AK5" i="1"/>
  <c r="AK36" i="1"/>
  <c r="AK32" i="1"/>
  <c r="AK19" i="1"/>
  <c r="AK8" i="1"/>
  <c r="AK44" i="1"/>
  <c r="AK33" i="1"/>
  <c r="AK20" i="1"/>
  <c r="AK11" i="1"/>
  <c r="AK43" i="1"/>
  <c r="AK30" i="1"/>
  <c r="AK21" i="1"/>
  <c r="AK7" i="1"/>
  <c r="AK23" i="1"/>
  <c r="AK39" i="1"/>
  <c r="AK6" i="1"/>
  <c r="AK37" i="1"/>
  <c r="AK24" i="1"/>
  <c r="AK22" i="1"/>
  <c r="AK9" i="1"/>
  <c r="AK35" i="1"/>
  <c r="AK26" i="1"/>
  <c r="AK12" i="1"/>
  <c r="AK28" i="1"/>
  <c r="AK45" i="1"/>
  <c r="AK34" i="1"/>
  <c r="AK10" i="1"/>
  <c r="AM25" i="1"/>
  <c r="AM16" i="1"/>
  <c r="AM2" i="1"/>
  <c r="AM17" i="1"/>
  <c r="AM44" i="1"/>
  <c r="AM23" i="1"/>
  <c r="AM32" i="1"/>
  <c r="AM37" i="1"/>
  <c r="AM27" i="1"/>
  <c r="AM29" i="1"/>
  <c r="AM20" i="1"/>
  <c r="AM12" i="1"/>
  <c r="AM33" i="1"/>
  <c r="AM36" i="1"/>
  <c r="AM10" i="1"/>
  <c r="AM46" i="1"/>
  <c r="AM42" i="1"/>
  <c r="AM38" i="1"/>
  <c r="AM9" i="1"/>
  <c r="AM31" i="1"/>
  <c r="AM34" i="1"/>
  <c r="AM28" i="1"/>
  <c r="AM24" i="1"/>
  <c r="AM43" i="1"/>
  <c r="AM19" i="1"/>
  <c r="AM8" i="1"/>
  <c r="AM15" i="1"/>
  <c r="AM18" i="1"/>
  <c r="AM26" i="1"/>
  <c r="AM3" i="1"/>
  <c r="AM14" i="1"/>
  <c r="AM7" i="1"/>
  <c r="AM39" i="1"/>
  <c r="AM21" i="1"/>
  <c r="AM13" i="1"/>
  <c r="AM45" i="1"/>
  <c r="AM11" i="1"/>
  <c r="AM6" i="1"/>
  <c r="AM30" i="1"/>
  <c r="AM35" i="1"/>
  <c r="AM40" i="1"/>
  <c r="AM5" i="1"/>
  <c r="AM22" i="1"/>
  <c r="AM41" i="1"/>
  <c r="AM4" i="1"/>
  <c r="AG45" i="1"/>
  <c r="AG36" i="1"/>
  <c r="AG22" i="1"/>
  <c r="AG9" i="1"/>
  <c r="AG44" i="1"/>
  <c r="AG33" i="1"/>
  <c r="AG20" i="1"/>
  <c r="AG11" i="1"/>
  <c r="AG24" i="1"/>
  <c r="AG34" i="1"/>
  <c r="AG23" i="1"/>
  <c r="AG10" i="1"/>
  <c r="AG32" i="1"/>
  <c r="AG19" i="1"/>
  <c r="AG8" i="1"/>
  <c r="AG43" i="1"/>
  <c r="AG30" i="1"/>
  <c r="AG21" i="1"/>
  <c r="AG7" i="1"/>
  <c r="AG39" i="1"/>
  <c r="AG28" i="1"/>
  <c r="AG6" i="1"/>
  <c r="AG42" i="1"/>
  <c r="AG29" i="1"/>
  <c r="AG18" i="1"/>
  <c r="AG5" i="1"/>
  <c r="AG37" i="1"/>
  <c r="AG40" i="1"/>
  <c r="AG17" i="1"/>
  <c r="AG4" i="1"/>
  <c r="AG35" i="1"/>
  <c r="AG26" i="1"/>
  <c r="R44" i="1"/>
  <c r="R33" i="1"/>
  <c r="R20" i="1"/>
  <c r="T20" i="1" s="1"/>
  <c r="AO20" i="1" s="1"/>
  <c r="R11" i="1"/>
  <c r="T11" i="1" s="1"/>
  <c r="AO11" i="1" s="1"/>
  <c r="R46" i="1"/>
  <c r="Z46" i="1" s="1"/>
  <c r="AA46" i="1" s="1"/>
  <c r="R32" i="1"/>
  <c r="Z32" i="1" s="1"/>
  <c r="AA32" i="1" s="1"/>
  <c r="R19" i="1"/>
  <c r="Z19" i="1" s="1"/>
  <c r="AA19" i="1" s="1"/>
  <c r="R8" i="1"/>
  <c r="R34" i="1"/>
  <c r="V41" i="1"/>
  <c r="W41" i="1" s="1"/>
  <c r="V27" i="1"/>
  <c r="W27" i="1" s="1"/>
  <c r="V3" i="1"/>
  <c r="W3" i="1" s="1"/>
  <c r="V38" i="1"/>
  <c r="W38" i="1" s="1"/>
  <c r="V25" i="1"/>
  <c r="W25" i="1" s="1"/>
  <c r="V2" i="1"/>
  <c r="W2" i="1" s="1"/>
  <c r="R45" i="1"/>
  <c r="R36" i="1"/>
  <c r="R22" i="1"/>
  <c r="R9" i="1"/>
  <c r="R38" i="1"/>
  <c r="R25" i="1"/>
  <c r="R16" i="1"/>
  <c r="R2" i="1"/>
  <c r="T2" i="1" s="1"/>
  <c r="AO2" i="1" s="1"/>
  <c r="R37" i="1"/>
  <c r="Z37" i="1" s="1"/>
  <c r="AA37" i="1" s="1"/>
  <c r="R24" i="1"/>
  <c r="Z24" i="1" s="1"/>
  <c r="AA24" i="1" s="1"/>
  <c r="R13" i="1"/>
  <c r="Z13" i="1" s="1"/>
  <c r="AA13" i="1" s="1"/>
  <c r="R35" i="1"/>
  <c r="R26" i="1"/>
  <c r="R12" i="1"/>
  <c r="R23" i="1"/>
  <c r="R10" i="1"/>
  <c r="R43" i="1"/>
  <c r="R30" i="1"/>
  <c r="R21" i="1"/>
  <c r="R7" i="1"/>
  <c r="R42" i="1"/>
  <c r="R29" i="1"/>
  <c r="R18" i="1"/>
  <c r="R5" i="1"/>
  <c r="R40" i="1"/>
  <c r="R31" i="1"/>
  <c r="R17" i="1"/>
  <c r="R4" i="1"/>
  <c r="R39" i="1"/>
  <c r="R28" i="1"/>
  <c r="R15" i="1"/>
  <c r="R6" i="1"/>
  <c r="R41" i="1"/>
  <c r="R27" i="1"/>
  <c r="R14" i="1"/>
  <c r="R3" i="1"/>
  <c r="AG2" i="1" l="1"/>
  <c r="AK2" i="1"/>
  <c r="AG25" i="1"/>
  <c r="AK25" i="1"/>
  <c r="AG38" i="1"/>
  <c r="AK38" i="1"/>
  <c r="AG3" i="1"/>
  <c r="AK3" i="1"/>
  <c r="AG27" i="1"/>
  <c r="AK27" i="1"/>
  <c r="AG41" i="1"/>
  <c r="AK41" i="1"/>
  <c r="U11" i="1"/>
  <c r="AN11" i="1" s="1"/>
  <c r="AH11" i="1"/>
  <c r="U20" i="1"/>
  <c r="AN20" i="1" s="1"/>
  <c r="AH20" i="1"/>
  <c r="T32" i="1"/>
  <c r="AO32" i="1" s="1"/>
  <c r="S19" i="1"/>
  <c r="S32" i="1"/>
  <c r="S46" i="1"/>
  <c r="T46" i="1"/>
  <c r="AB11" i="1"/>
  <c r="AB20" i="1"/>
  <c r="T3" i="1"/>
  <c r="Z3" i="1"/>
  <c r="AA3" i="1" s="1"/>
  <c r="S14" i="1"/>
  <c r="Z14" i="1"/>
  <c r="AA14" i="1" s="1"/>
  <c r="S22" i="1"/>
  <c r="Z22" i="1"/>
  <c r="AA22" i="1" s="1"/>
  <c r="S27" i="1"/>
  <c r="Z27" i="1"/>
  <c r="AA27" i="1" s="1"/>
  <c r="S36" i="1"/>
  <c r="Z36" i="1"/>
  <c r="AA36" i="1" s="1"/>
  <c r="S41" i="1"/>
  <c r="Z41" i="1"/>
  <c r="AA41" i="1" s="1"/>
  <c r="S42" i="1"/>
  <c r="Z42" i="1"/>
  <c r="AA42" i="1" s="1"/>
  <c r="S45" i="1"/>
  <c r="Z45" i="1"/>
  <c r="AA45" i="1" s="1"/>
  <c r="S6" i="1"/>
  <c r="Z6" i="1"/>
  <c r="AA6" i="1" s="1"/>
  <c r="S7" i="1"/>
  <c r="Z7" i="1"/>
  <c r="AA7" i="1" s="1"/>
  <c r="T19" i="1"/>
  <c r="T34" i="1"/>
  <c r="Z34" i="1"/>
  <c r="AA34" i="1" s="1"/>
  <c r="S15" i="1"/>
  <c r="Z15" i="1"/>
  <c r="AA15" i="1" s="1"/>
  <c r="S5" i="1"/>
  <c r="Z5" i="1"/>
  <c r="AA5" i="1" s="1"/>
  <c r="S44" i="1"/>
  <c r="Z44" i="1"/>
  <c r="AA44" i="1" s="1"/>
  <c r="S29" i="1"/>
  <c r="Z29" i="1"/>
  <c r="AA29" i="1" s="1"/>
  <c r="S21" i="1"/>
  <c r="Z21" i="1"/>
  <c r="AA21" i="1" s="1"/>
  <c r="S28" i="1"/>
  <c r="Z28" i="1"/>
  <c r="AA28" i="1" s="1"/>
  <c r="S30" i="1"/>
  <c r="Z30" i="1"/>
  <c r="AA30" i="1" s="1"/>
  <c r="S39" i="1"/>
  <c r="Z39" i="1"/>
  <c r="AA39" i="1" s="1"/>
  <c r="S43" i="1"/>
  <c r="Z43" i="1"/>
  <c r="AA43" i="1" s="1"/>
  <c r="S4" i="1"/>
  <c r="Z4" i="1"/>
  <c r="AA4" i="1" s="1"/>
  <c r="S10" i="1"/>
  <c r="Z10" i="1"/>
  <c r="AA10" i="1" s="1"/>
  <c r="S2" i="1"/>
  <c r="Z2" i="1"/>
  <c r="AA2" i="1" s="1"/>
  <c r="S18" i="1"/>
  <c r="Z18" i="1"/>
  <c r="AA18" i="1" s="1"/>
  <c r="S17" i="1"/>
  <c r="Z17" i="1"/>
  <c r="AA17" i="1" s="1"/>
  <c r="S23" i="1"/>
  <c r="Z23" i="1"/>
  <c r="AA23" i="1" s="1"/>
  <c r="S16" i="1"/>
  <c r="Z16" i="1"/>
  <c r="AA16" i="1" s="1"/>
  <c r="S26" i="1"/>
  <c r="Z26" i="1"/>
  <c r="AA26" i="1" s="1"/>
  <c r="S35" i="1"/>
  <c r="Z35" i="1"/>
  <c r="AA35" i="1" s="1"/>
  <c r="T8" i="1"/>
  <c r="Z8" i="1"/>
  <c r="AA8" i="1" s="1"/>
  <c r="S31" i="1"/>
  <c r="Z31" i="1"/>
  <c r="AA31" i="1" s="1"/>
  <c r="S34" i="1"/>
  <c r="S25" i="1"/>
  <c r="Z25" i="1"/>
  <c r="AA25" i="1" s="1"/>
  <c r="S11" i="1"/>
  <c r="Z11" i="1"/>
  <c r="AA11" i="1" s="1"/>
  <c r="S40" i="1"/>
  <c r="Z40" i="1"/>
  <c r="AA40" i="1" s="1"/>
  <c r="S12" i="1"/>
  <c r="Z12" i="1"/>
  <c r="AA12" i="1" s="1"/>
  <c r="S38" i="1"/>
  <c r="Z38" i="1"/>
  <c r="AA38" i="1" s="1"/>
  <c r="S20" i="1"/>
  <c r="Z20" i="1"/>
  <c r="AA20" i="1" s="1"/>
  <c r="S9" i="1"/>
  <c r="Z9" i="1"/>
  <c r="AA9" i="1" s="1"/>
  <c r="S33" i="1"/>
  <c r="Z33" i="1"/>
  <c r="AA33" i="1" s="1"/>
  <c r="S8" i="1"/>
  <c r="T33" i="1"/>
  <c r="T44" i="1"/>
  <c r="T18" i="1"/>
  <c r="T7" i="1"/>
  <c r="T21" i="1"/>
  <c r="T25" i="1"/>
  <c r="T5" i="1"/>
  <c r="T29" i="1"/>
  <c r="T30" i="1"/>
  <c r="T38" i="1"/>
  <c r="T10" i="1"/>
  <c r="T28" i="1"/>
  <c r="S3" i="1"/>
  <c r="AH2" i="1"/>
  <c r="T42" i="1"/>
  <c r="T16" i="1"/>
  <c r="T9" i="1"/>
  <c r="T26" i="1"/>
  <c r="T27" i="1"/>
  <c r="T43" i="1"/>
  <c r="T12" i="1"/>
  <c r="T14" i="1"/>
  <c r="S13" i="1"/>
  <c r="T13" i="1"/>
  <c r="T17" i="1"/>
  <c r="T22" i="1"/>
  <c r="T35" i="1"/>
  <c r="T41" i="1"/>
  <c r="T4" i="1"/>
  <c r="S24" i="1"/>
  <c r="T24" i="1"/>
  <c r="T31" i="1"/>
  <c r="T36" i="1"/>
  <c r="T6" i="1"/>
  <c r="S37" i="1"/>
  <c r="T37" i="1"/>
  <c r="T40" i="1"/>
  <c r="T45" i="1"/>
  <c r="T15" i="1"/>
  <c r="T23" i="1"/>
  <c r="T39" i="1"/>
  <c r="AH39" i="1" l="1"/>
  <c r="AO39" i="1"/>
  <c r="AH7" i="1"/>
  <c r="AO7" i="1"/>
  <c r="AH42" i="1"/>
  <c r="AO42" i="1"/>
  <c r="AH9" i="1"/>
  <c r="AO9" i="1"/>
  <c r="AH23" i="1"/>
  <c r="AO23" i="1"/>
  <c r="AH35" i="1"/>
  <c r="AO35" i="1"/>
  <c r="AH18" i="1"/>
  <c r="AO18" i="1"/>
  <c r="AH8" i="1"/>
  <c r="AO8" i="1"/>
  <c r="AH45" i="1"/>
  <c r="AO45" i="1"/>
  <c r="AH22" i="1"/>
  <c r="AO22" i="1"/>
  <c r="AH44" i="1"/>
  <c r="AO44" i="1"/>
  <c r="AH4" i="1"/>
  <c r="AO4" i="1"/>
  <c r="AH41" i="1"/>
  <c r="AO41" i="1"/>
  <c r="AH3" i="1"/>
  <c r="AO3" i="1"/>
  <c r="AH40" i="1"/>
  <c r="AO40" i="1"/>
  <c r="AH17" i="1"/>
  <c r="AO17" i="1"/>
  <c r="AH33" i="1"/>
  <c r="AO33" i="1"/>
  <c r="AH34" i="1"/>
  <c r="AO34" i="1"/>
  <c r="AH37" i="1"/>
  <c r="AO37" i="1"/>
  <c r="AH28" i="1"/>
  <c r="AO28" i="1"/>
  <c r="AH19" i="1"/>
  <c r="AO19" i="1"/>
  <c r="AH10" i="1"/>
  <c r="AO10" i="1"/>
  <c r="AH43" i="1"/>
  <c r="AO43" i="1"/>
  <c r="AH6" i="1"/>
  <c r="AO6" i="1"/>
  <c r="AH38" i="1"/>
  <c r="AO38" i="1"/>
  <c r="AH36" i="1"/>
  <c r="AO36" i="1"/>
  <c r="AH12" i="1"/>
  <c r="AO12" i="1"/>
  <c r="AH30" i="1"/>
  <c r="AO30" i="1"/>
  <c r="AH29" i="1"/>
  <c r="AO29" i="1"/>
  <c r="AH24" i="1"/>
  <c r="AO24" i="1"/>
  <c r="AH27" i="1"/>
  <c r="AO27" i="1"/>
  <c r="AH5" i="1"/>
  <c r="AO5" i="1"/>
  <c r="AH26" i="1"/>
  <c r="AO26" i="1"/>
  <c r="AH25" i="1"/>
  <c r="AO25" i="1"/>
  <c r="AH21" i="1"/>
  <c r="AO21" i="1"/>
  <c r="AF20" i="1"/>
  <c r="AL20" i="1"/>
  <c r="AF11" i="1"/>
  <c r="AL11" i="1"/>
  <c r="AD11" i="1"/>
  <c r="AE11" i="1"/>
  <c r="AD20" i="1"/>
  <c r="AE20" i="1"/>
  <c r="U32" i="1"/>
  <c r="AH32" i="1"/>
  <c r="AC20" i="1"/>
  <c r="AI20" i="1"/>
  <c r="AJ20" i="1" s="1"/>
  <c r="AC11" i="1"/>
  <c r="AI11" i="1"/>
  <c r="AJ11" i="1" s="1"/>
  <c r="AB32" i="1"/>
  <c r="U6" i="1"/>
  <c r="AN6" i="1" s="1"/>
  <c r="AB6" i="1"/>
  <c r="U14" i="1"/>
  <c r="AN14" i="1" s="1"/>
  <c r="U38" i="1"/>
  <c r="AN38" i="1" s="1"/>
  <c r="AB38" i="1"/>
  <c r="U28" i="1"/>
  <c r="AN28" i="1" s="1"/>
  <c r="AB28" i="1"/>
  <c r="U36" i="1"/>
  <c r="AN36" i="1" s="1"/>
  <c r="AB36" i="1"/>
  <c r="U29" i="1"/>
  <c r="AN29" i="1" s="1"/>
  <c r="AB29" i="1"/>
  <c r="U13" i="1"/>
  <c r="AN13" i="1" s="1"/>
  <c r="U31" i="1"/>
  <c r="AN31" i="1" s="1"/>
  <c r="U24" i="1"/>
  <c r="AN24" i="1" s="1"/>
  <c r="AB24" i="1"/>
  <c r="U27" i="1"/>
  <c r="AN27" i="1" s="1"/>
  <c r="AB27" i="1"/>
  <c r="U5" i="1"/>
  <c r="AN5" i="1" s="1"/>
  <c r="AB5" i="1"/>
  <c r="U12" i="1"/>
  <c r="AN12" i="1" s="1"/>
  <c r="AB12" i="1"/>
  <c r="U26" i="1"/>
  <c r="AN26" i="1" s="1"/>
  <c r="AB26" i="1"/>
  <c r="U25" i="1"/>
  <c r="AN25" i="1" s="1"/>
  <c r="AB25" i="1"/>
  <c r="U37" i="1"/>
  <c r="AN37" i="1" s="1"/>
  <c r="AB37" i="1"/>
  <c r="U10" i="1"/>
  <c r="AN10" i="1" s="1"/>
  <c r="AB10" i="1"/>
  <c r="U43" i="1"/>
  <c r="AN43" i="1" s="1"/>
  <c r="AB43" i="1"/>
  <c r="U4" i="1"/>
  <c r="AN4" i="1" s="1"/>
  <c r="AB4" i="1"/>
  <c r="U21" i="1"/>
  <c r="AN21" i="1" s="1"/>
  <c r="AB21" i="1"/>
  <c r="U16" i="1"/>
  <c r="AN16" i="1" s="1"/>
  <c r="U3" i="1"/>
  <c r="AN3" i="1" s="1"/>
  <c r="AB3" i="1"/>
  <c r="U39" i="1"/>
  <c r="AN39" i="1" s="1"/>
  <c r="AB39" i="1"/>
  <c r="U9" i="1"/>
  <c r="AN9" i="1" s="1"/>
  <c r="AB9" i="1"/>
  <c r="U23" i="1"/>
  <c r="AN23" i="1" s="1"/>
  <c r="AB23" i="1"/>
  <c r="U41" i="1"/>
  <c r="AN41" i="1" s="1"/>
  <c r="AB41" i="1"/>
  <c r="U7" i="1"/>
  <c r="AN7" i="1" s="1"/>
  <c r="AB7" i="1"/>
  <c r="U15" i="1"/>
  <c r="AN15" i="1" s="1"/>
  <c r="U35" i="1"/>
  <c r="AN35" i="1" s="1"/>
  <c r="AB35" i="1"/>
  <c r="U42" i="1"/>
  <c r="AN42" i="1" s="1"/>
  <c r="AB42" i="1"/>
  <c r="U18" i="1"/>
  <c r="AN18" i="1" s="1"/>
  <c r="AB18" i="1"/>
  <c r="U8" i="1"/>
  <c r="AN8" i="1" s="1"/>
  <c r="AB8" i="1"/>
  <c r="U22" i="1"/>
  <c r="AN22" i="1" s="1"/>
  <c r="AB22" i="1"/>
  <c r="U30" i="1"/>
  <c r="AN30" i="1" s="1"/>
  <c r="AB30" i="1"/>
  <c r="U45" i="1"/>
  <c r="AN45" i="1" s="1"/>
  <c r="AB45" i="1"/>
  <c r="U2" i="1"/>
  <c r="AN2" i="1" s="1"/>
  <c r="AB2" i="1"/>
  <c r="U44" i="1"/>
  <c r="AN44" i="1" s="1"/>
  <c r="AB44" i="1"/>
  <c r="U40" i="1"/>
  <c r="AN40" i="1" s="1"/>
  <c r="AB40" i="1"/>
  <c r="U17" i="1"/>
  <c r="AN17" i="1" s="1"/>
  <c r="AB17" i="1"/>
  <c r="U33" i="1"/>
  <c r="AN33" i="1" s="1"/>
  <c r="AB33" i="1"/>
  <c r="U34" i="1"/>
  <c r="AN34" i="1" s="1"/>
  <c r="AB34" i="1"/>
  <c r="U19" i="1"/>
  <c r="AN19" i="1" s="1"/>
  <c r="AB19" i="1"/>
  <c r="U46" i="1"/>
  <c r="AN46" i="1" s="1"/>
  <c r="AL32" i="1" l="1"/>
  <c r="AN32" i="1"/>
  <c r="AF6" i="1"/>
  <c r="AL6" i="1"/>
  <c r="AF30" i="1"/>
  <c r="AL30" i="1"/>
  <c r="AF25" i="1"/>
  <c r="AL25" i="1"/>
  <c r="AF22" i="1"/>
  <c r="AL22" i="1"/>
  <c r="AF21" i="1"/>
  <c r="AL21" i="1"/>
  <c r="AF26" i="1"/>
  <c r="AL26" i="1"/>
  <c r="AF29" i="1"/>
  <c r="AL29" i="1"/>
  <c r="AF41" i="1"/>
  <c r="AL41" i="1"/>
  <c r="AF40" i="1"/>
  <c r="AL40" i="1"/>
  <c r="AF8" i="1"/>
  <c r="AL8" i="1"/>
  <c r="AF4" i="1"/>
  <c r="AL4" i="1"/>
  <c r="AF12" i="1"/>
  <c r="AL12" i="1"/>
  <c r="AF36" i="1"/>
  <c r="AL36" i="1"/>
  <c r="AF23" i="1"/>
  <c r="AL23" i="1"/>
  <c r="AF3" i="1"/>
  <c r="AL3" i="1"/>
  <c r="AF7" i="1"/>
  <c r="AL7" i="1"/>
  <c r="AF46" i="1"/>
  <c r="AL46" i="1"/>
  <c r="AF28" i="1"/>
  <c r="AL28" i="1"/>
  <c r="AF33" i="1"/>
  <c r="AL33" i="1"/>
  <c r="AF13" i="1"/>
  <c r="AL13" i="1"/>
  <c r="AF44" i="1"/>
  <c r="AL44" i="1"/>
  <c r="AF18" i="1"/>
  <c r="AL18" i="1"/>
  <c r="AF43" i="1"/>
  <c r="AL43" i="1"/>
  <c r="AF5" i="1"/>
  <c r="AL5" i="1"/>
  <c r="AF9" i="1"/>
  <c r="AL9" i="1"/>
  <c r="AF19" i="1"/>
  <c r="AL19" i="1"/>
  <c r="AF2" i="1"/>
  <c r="AL2" i="1"/>
  <c r="AF42" i="1"/>
  <c r="AL42" i="1"/>
  <c r="AF10" i="1"/>
  <c r="AL10" i="1"/>
  <c r="AF27" i="1"/>
  <c r="AL27" i="1"/>
  <c r="AF38" i="1"/>
  <c r="AL38" i="1"/>
  <c r="AF39" i="1"/>
  <c r="AL39" i="1"/>
  <c r="AF14" i="1"/>
  <c r="AL14" i="1"/>
  <c r="AF34" i="1"/>
  <c r="AL34" i="1"/>
  <c r="AF45" i="1"/>
  <c r="AL45" i="1"/>
  <c r="AF35" i="1"/>
  <c r="AL35" i="1"/>
  <c r="AF37" i="1"/>
  <c r="AL37" i="1"/>
  <c r="AF24" i="1"/>
  <c r="AL24" i="1"/>
  <c r="AF15" i="1"/>
  <c r="AL15" i="1"/>
  <c r="AF31" i="1"/>
  <c r="AL31" i="1"/>
  <c r="AF16" i="1"/>
  <c r="AL16" i="1"/>
  <c r="AF17" i="1"/>
  <c r="AL17" i="1"/>
  <c r="AE32" i="1"/>
  <c r="AF32" i="1"/>
  <c r="AI39" i="1"/>
  <c r="AJ39" i="1" s="1"/>
  <c r="AE39" i="1"/>
  <c r="AI34" i="1"/>
  <c r="AJ34" i="1" s="1"/>
  <c r="AE34" i="1"/>
  <c r="AI33" i="1"/>
  <c r="AJ33" i="1" s="1"/>
  <c r="AE33" i="1"/>
  <c r="AI7" i="1"/>
  <c r="AJ7" i="1" s="1"/>
  <c r="AE7" i="1"/>
  <c r="AI24" i="1"/>
  <c r="AJ24" i="1" s="1"/>
  <c r="AE24" i="1"/>
  <c r="AI15" i="1"/>
  <c r="AE15" i="1"/>
  <c r="AI31" i="1"/>
  <c r="AE31" i="1"/>
  <c r="AI13" i="1"/>
  <c r="AE13" i="1"/>
  <c r="AI22" i="1"/>
  <c r="AJ22" i="1" s="1"/>
  <c r="AE22" i="1"/>
  <c r="AI29" i="1"/>
  <c r="AJ29" i="1" s="1"/>
  <c r="AE29" i="1"/>
  <c r="AI12" i="1"/>
  <c r="AJ12" i="1" s="1"/>
  <c r="AE12" i="1"/>
  <c r="AI36" i="1"/>
  <c r="AJ36" i="1" s="1"/>
  <c r="AE36" i="1"/>
  <c r="AI23" i="1"/>
  <c r="AJ23" i="1" s="1"/>
  <c r="AE23" i="1"/>
  <c r="AI45" i="1"/>
  <c r="AJ45" i="1" s="1"/>
  <c r="AE45" i="1"/>
  <c r="AI3" i="1"/>
  <c r="AJ3" i="1" s="1"/>
  <c r="AE3" i="1"/>
  <c r="AI16" i="1"/>
  <c r="AE16" i="1"/>
  <c r="AI41" i="1"/>
  <c r="AJ41" i="1" s="1"/>
  <c r="AE41" i="1"/>
  <c r="AI8" i="1"/>
  <c r="AJ8" i="1" s="1"/>
  <c r="AE8" i="1"/>
  <c r="AI44" i="1"/>
  <c r="AJ44" i="1" s="1"/>
  <c r="AE44" i="1"/>
  <c r="AI5" i="1"/>
  <c r="AJ5" i="1" s="1"/>
  <c r="AE5" i="1"/>
  <c r="AI28" i="1"/>
  <c r="AJ28" i="1" s="1"/>
  <c r="AE28" i="1"/>
  <c r="AI14" i="1"/>
  <c r="AE14" i="1"/>
  <c r="AI35" i="1"/>
  <c r="AJ35" i="1" s="1"/>
  <c r="AE35" i="1"/>
  <c r="AI37" i="1"/>
  <c r="AJ37" i="1" s="1"/>
  <c r="AE37" i="1"/>
  <c r="AI6" i="1"/>
  <c r="AJ6" i="1" s="1"/>
  <c r="AE6" i="1"/>
  <c r="AI30" i="1"/>
  <c r="AJ30" i="1" s="1"/>
  <c r="AE30" i="1"/>
  <c r="AI25" i="1"/>
  <c r="AJ25" i="1" s="1"/>
  <c r="AE25" i="1"/>
  <c r="AI17" i="1"/>
  <c r="AJ17" i="1" s="1"/>
  <c r="AE17" i="1"/>
  <c r="AI21" i="1"/>
  <c r="AJ21" i="1" s="1"/>
  <c r="AE21" i="1"/>
  <c r="AI26" i="1"/>
  <c r="AJ26" i="1" s="1"/>
  <c r="AE26" i="1"/>
  <c r="AI40" i="1"/>
  <c r="AJ40" i="1" s="1"/>
  <c r="AE40" i="1"/>
  <c r="AI4" i="1"/>
  <c r="AJ4" i="1" s="1"/>
  <c r="AE4" i="1"/>
  <c r="AI46" i="1"/>
  <c r="AE46" i="1"/>
  <c r="AI18" i="1"/>
  <c r="AJ18" i="1" s="1"/>
  <c r="AE18" i="1"/>
  <c r="AI43" i="1"/>
  <c r="AJ43" i="1" s="1"/>
  <c r="AE43" i="1"/>
  <c r="AI9" i="1"/>
  <c r="AJ9" i="1" s="1"/>
  <c r="AE9" i="1"/>
  <c r="AI19" i="1"/>
  <c r="AJ19" i="1" s="1"/>
  <c r="AE19" i="1"/>
  <c r="AI2" i="1"/>
  <c r="AJ2" i="1" s="1"/>
  <c r="AE2" i="1"/>
  <c r="AI42" i="1"/>
  <c r="AJ42" i="1" s="1"/>
  <c r="AE42" i="1"/>
  <c r="AI10" i="1"/>
  <c r="AJ10" i="1" s="1"/>
  <c r="AE10" i="1"/>
  <c r="AI27" i="1"/>
  <c r="AJ27" i="1" s="1"/>
  <c r="AE27" i="1"/>
  <c r="AI38" i="1"/>
  <c r="AJ38" i="1" s="1"/>
  <c r="AE38" i="1"/>
  <c r="AD32" i="1"/>
  <c r="AI32" i="1"/>
  <c r="AJ32" i="1" s="1"/>
  <c r="AC32" i="1"/>
  <c r="AC41" i="1"/>
  <c r="AD41" i="1"/>
  <c r="AC21" i="1"/>
  <c r="AD21" i="1"/>
  <c r="AC46" i="1"/>
  <c r="AD46" i="1"/>
  <c r="AC8" i="1"/>
  <c r="AD8" i="1"/>
  <c r="AC26" i="1"/>
  <c r="AD26" i="1"/>
  <c r="AC18" i="1"/>
  <c r="AD18" i="1"/>
  <c r="AC23" i="1"/>
  <c r="AD23" i="1"/>
  <c r="AC2" i="1"/>
  <c r="AD2" i="1"/>
  <c r="AC36" i="1"/>
  <c r="AD36" i="1"/>
  <c r="AC34" i="1"/>
  <c r="AD34" i="1"/>
  <c r="AC12" i="1"/>
  <c r="AD12" i="1"/>
  <c r="AC9" i="1"/>
  <c r="AD9" i="1"/>
  <c r="AC6" i="1"/>
  <c r="AD6" i="1"/>
  <c r="AC44" i="1"/>
  <c r="AD44" i="1"/>
  <c r="AC4" i="1"/>
  <c r="AD4" i="1"/>
  <c r="AC29" i="1"/>
  <c r="AD29" i="1"/>
  <c r="AC42" i="1"/>
  <c r="AD42" i="1"/>
  <c r="AC5" i="1"/>
  <c r="AD5" i="1"/>
  <c r="AC35" i="1"/>
  <c r="AD35" i="1"/>
  <c r="AC39" i="1"/>
  <c r="AD39" i="1"/>
  <c r="AC10" i="1"/>
  <c r="AD10" i="1"/>
  <c r="AC28" i="1"/>
  <c r="AD28" i="1"/>
  <c r="AC33" i="1"/>
  <c r="AD33" i="1"/>
  <c r="AC15" i="1"/>
  <c r="AD15" i="1"/>
  <c r="AC37" i="1"/>
  <c r="AD37" i="1"/>
  <c r="AC38" i="1"/>
  <c r="AD38" i="1"/>
  <c r="AC17" i="1"/>
  <c r="AD17" i="1"/>
  <c r="AC16" i="1"/>
  <c r="AD16" i="1"/>
  <c r="AC14" i="1"/>
  <c r="AD14" i="1"/>
  <c r="AC40" i="1"/>
  <c r="AD40" i="1"/>
  <c r="AC13" i="1"/>
  <c r="AD13" i="1"/>
  <c r="AC19" i="1"/>
  <c r="AD19" i="1"/>
  <c r="AC43" i="1"/>
  <c r="AD43" i="1"/>
  <c r="AC45" i="1"/>
  <c r="AD45" i="1"/>
  <c r="AC27" i="1"/>
  <c r="AD27" i="1"/>
  <c r="AC30" i="1"/>
  <c r="AD30" i="1"/>
  <c r="AC3" i="1"/>
  <c r="AD3" i="1"/>
  <c r="AC24" i="1"/>
  <c r="AD24" i="1"/>
  <c r="AC22" i="1"/>
  <c r="AD22" i="1"/>
  <c r="AC7" i="1"/>
  <c r="AD7" i="1"/>
  <c r="AC25" i="1"/>
  <c r="AD25" i="1"/>
  <c r="AC31" i="1"/>
  <c r="AD31"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<sst xmlns="http://schemas.openxmlformats.org/spreadsheetml/2006/main" count="262" uniqueCount="132">
  <si>
    <t>Path</t>
  </si>
  <si>
    <t>SPM</t>
  </si>
  <si>
    <t>Mask</t>
  </si>
  <si>
    <t>Kernel</t>
  </si>
  <si>
    <t>CohD</t>
  </si>
  <si>
    <t>ClusterSize</t>
  </si>
  <si>
    <t>Total</t>
  </si>
  <si>
    <t>PosAct</t>
  </si>
  <si>
    <t>PosPre</t>
  </si>
  <si>
    <t>TP</t>
  </si>
  <si>
    <t>NegActBound</t>
  </si>
  <si>
    <t>PosPreBound</t>
  </si>
  <si>
    <t>SPM_s000</t>
  </si>
  <si>
    <t>spmT_Pos_s000_p05_d5.464776e-01_c01.nii</t>
  </si>
  <si>
    <t>./GridMasks/Binarized/s000_Grid_CohD_Mask_bin.nii</t>
  </si>
  <si>
    <t>spmT_Pos_s000_p05_d5.464776e-01_c08.nii</t>
  </si>
  <si>
    <t>spmT_Pos_s000_p05_d5.464776e-01_c125.nii</t>
  </si>
  <si>
    <t>spmT_Pos_s000_p05_d5.464776e-01_c27.nii</t>
  </si>
  <si>
    <t>spmT_Pos_s000_p05_d5.464776e-01_c64.nii</t>
  </si>
  <si>
    <t>spmT_Pos_s000_p05_d8.061161e-01_c01.nii</t>
  </si>
  <si>
    <t>spmT_Pos_s000_p05_d8.061161e-01_c08.nii</t>
  </si>
  <si>
    <t>spmT_Pos_s000_p05_d8.061161e-01_c125.nii</t>
  </si>
  <si>
    <t>spmT_Pos_s000_p05_d8.061161e-01_c27.nii</t>
  </si>
  <si>
    <t>spmT_Pos_s000_p05_d8.061161e-01_c64.nii</t>
  </si>
  <si>
    <t>spmT_Pos_s000_p05_d9.495917e-01_c01.nii</t>
  </si>
  <si>
    <t>spmT_Pos_s000_p05_d9.495917e-01_c08.nii</t>
  </si>
  <si>
    <t>spmT_Pos_s000_p05_d9.495917e-01_c125.nii</t>
  </si>
  <si>
    <t>spmT_Pos_s000_p05_d9.495917e-01_c27.nii</t>
  </si>
  <si>
    <t>spmT_Pos_s000_p05_d9.495917e-01_c64.nii</t>
  </si>
  <si>
    <t>SPM_s150</t>
  </si>
  <si>
    <t>spmT_Pos_s150_p05_d5.464776e-01_c01.nii</t>
  </si>
  <si>
    <t>spmT_Pos_s150_p05_d5.464776e-01_c08.nii</t>
  </si>
  <si>
    <t>spmT_Pos_s150_p05_d5.464776e-01_c125.nii</t>
  </si>
  <si>
    <t>spmT_Pos_s150_p05_d5.464776e-01_c27.nii</t>
  </si>
  <si>
    <t>spmT_Pos_s150_p05_d5.464776e-01_c64.nii</t>
  </si>
  <si>
    <t>spmT_Pos_s150_p05_d8.061161e-01_c01.nii</t>
  </si>
  <si>
    <t>spmT_Pos_s150_p05_d8.061161e-01_c08.nii</t>
  </si>
  <si>
    <t>spmT_Pos_s150_p05_d8.061161e-01_c125.nii</t>
  </si>
  <si>
    <t>spmT_Pos_s150_p05_d8.061161e-01_c27.nii</t>
  </si>
  <si>
    <t>spmT_Pos_s150_p05_d8.061161e-01_c64.nii</t>
  </si>
  <si>
    <t>spmT_Pos_s150_p05_d9.495917e-01_c01.nii</t>
  </si>
  <si>
    <t>spmT_Pos_s150_p05_d9.495917e-01_c08.nii</t>
  </si>
  <si>
    <t>spmT_Pos_s150_p05_d9.495917e-01_c125.nii</t>
  </si>
  <si>
    <t>spmT_Pos_s150_p05_d9.495917e-01_c27.nii</t>
  </si>
  <si>
    <t>spmT_Pos_s150_p05_d9.495917e-01_c64.nii</t>
  </si>
  <si>
    <t>SPM_s300</t>
  </si>
  <si>
    <t>spmT_Pos_s300_p05_d5.464776e-01_c01.nii</t>
  </si>
  <si>
    <t>spmT_Pos_s300_p05_d5.464776e-01_c08.nii</t>
  </si>
  <si>
    <t>spmT_Pos_s300_p05_d5.464776e-01_c125.nii</t>
  </si>
  <si>
    <t>spmT_Pos_s300_p05_d5.464776e-01_c27.nii</t>
  </si>
  <si>
    <t>spmT_Pos_s300_p05_d5.464776e-01_c64.nii</t>
  </si>
  <si>
    <t>spmT_Pos_s300_p05_d8.061161e-01_c01.nii</t>
  </si>
  <si>
    <t>spmT_Pos_s300_p05_d8.061161e-01_c08.nii</t>
  </si>
  <si>
    <t>spmT_Pos_s300_p05_d8.061161e-01_c125.nii</t>
  </si>
  <si>
    <t>spmT_Pos_s300_p05_d8.061161e-01_c27.nii</t>
  </si>
  <si>
    <t>spmT_Pos_s300_p05_d8.061161e-01_c64.nii</t>
  </si>
  <si>
    <t>spmT_Pos_s300_p05_d9.495917e-01_c01.nii</t>
  </si>
  <si>
    <t>spmT_Pos_s300_p05_d9.495917e-01_c08.nii</t>
  </si>
  <si>
    <t>spmT_Pos_s300_p05_d9.495917e-01_c125.nii</t>
  </si>
  <si>
    <t>spmT_Pos_s300_p05_d9.495917e-01_c27.nii</t>
  </si>
  <si>
    <t>spmT_Pos_s300_p05_d9.495917e-01_c64.nii</t>
  </si>
  <si>
    <t>NegAct</t>
  </si>
  <si>
    <t>NegPre</t>
  </si>
  <si>
    <t>FP</t>
  </si>
  <si>
    <t>FN</t>
  </si>
  <si>
    <t>TN</t>
  </si>
  <si>
    <t>TEST1</t>
  </si>
  <si>
    <t>FPR</t>
  </si>
  <si>
    <t>Specificity</t>
  </si>
  <si>
    <t>FNR</t>
  </si>
  <si>
    <t>Sensitivity</t>
  </si>
  <si>
    <t>FOR</t>
  </si>
  <si>
    <t>PPV</t>
  </si>
  <si>
    <t>NPV</t>
  </si>
  <si>
    <t>FNR_FPR</t>
  </si>
  <si>
    <t>Sens_Spec</t>
  </si>
  <si>
    <t>BalAcc</t>
  </si>
  <si>
    <t>F1Score</t>
  </si>
  <si>
    <t>BoundFPR</t>
  </si>
  <si>
    <t>LRPlus</t>
  </si>
  <si>
    <t>LRMinus</t>
  </si>
  <si>
    <t>DOR</t>
  </si>
  <si>
    <t>Jaccard</t>
  </si>
  <si>
    <t>FM</t>
  </si>
  <si>
    <t>wBalAcc</t>
  </si>
  <si>
    <t>MSE_Sens_Spec</t>
  </si>
  <si>
    <t>MattCorCoef</t>
  </si>
  <si>
    <t>YoudenJ</t>
  </si>
  <si>
    <t>FPRCorr</t>
  </si>
  <si>
    <t>FDR</t>
  </si>
  <si>
    <t>Row Labels</t>
  </si>
  <si>
    <t>Grand Total</t>
  </si>
  <si>
    <t>Sum of PosPre</t>
  </si>
  <si>
    <t>Sum of FPR</t>
  </si>
  <si>
    <t>Sum of FNR</t>
  </si>
  <si>
    <t>Sum of BalAcc</t>
  </si>
  <si>
    <t>Sum of YoudenJ</t>
  </si>
  <si>
    <t>Cohen's D</t>
  </si>
  <si>
    <t>Cluster Size</t>
  </si>
  <si>
    <t>Number of Significant Voxels</t>
  </si>
  <si>
    <t>Balanced Accuracy</t>
  </si>
  <si>
    <t>Youden's J</t>
  </si>
  <si>
    <t>Sum of FDR</t>
  </si>
  <si>
    <t># of FDR Voxels</t>
  </si>
  <si>
    <t>Sum of FP</t>
  </si>
  <si>
    <t>eFDR</t>
  </si>
  <si>
    <t>FDR Corrected (FDR = 0.05)</t>
  </si>
  <si>
    <t>% of FN Added</t>
  </si>
  <si>
    <t>Sum of FN</t>
  </si>
  <si>
    <t># of False Negatives</t>
  </si>
  <si>
    <t>% of FP Removed</t>
  </si>
  <si>
    <t>Slope</t>
  </si>
  <si>
    <t>Column Labels</t>
  </si>
  <si>
    <t>Total Average of FPR</t>
  </si>
  <si>
    <t>Average of FPR</t>
  </si>
  <si>
    <t>Total Average of FNR</t>
  </si>
  <si>
    <t>Average of FNR</t>
  </si>
  <si>
    <t>For a hybrid FDR approach, one could determine the eFDR for simulated data. Then use the eFDR to decide on a voxel/cluster combination that would remove that percentage of positives from an SPM on real data. For intance, if 100,000 voxels were significant for real data, with a cluster size of 8 and d= 0.546. Then FDR suggests we remove ~94% of those voxels. Bolded to the left is the best balanced accuracy based on the eFDR and FNR (red) and the best choices based on graphs above if FP removal is the major goal. Graphs above  reflect the relationship between FPR correction over FNR, which suggest that that there is minimal reduction in false positives but large increses in false negatives. Slope of these lines, and the elbow method suggest a similar combination of effect and cluster size may be an optimal choice to remove nearly all. The choice we made (c= 8, d = 0.546 provides the greatest overall rate of reduction in false positives over increase in false negatives.</t>
  </si>
  <si>
    <t>Slope (FP/FN)</t>
  </si>
  <si>
    <t>(From Sheet Table_eFDR)</t>
  </si>
  <si>
    <t>Sens</t>
  </si>
  <si>
    <t>Avg</t>
  </si>
  <si>
    <t>Effect Size</t>
  </si>
  <si>
    <t>Tcrit</t>
  </si>
  <si>
    <t>Sample Size</t>
  </si>
  <si>
    <t>D</t>
  </si>
  <si>
    <t>BH</t>
  </si>
  <si>
    <t>y = -0.461*ln(x)+0.124</t>
  </si>
  <si>
    <t>x</t>
  </si>
  <si>
    <t>(FNR)</t>
  </si>
  <si>
    <t>(FDR)</t>
  </si>
  <si>
    <t>Spec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</si>
</sst>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00000"/>
    <numFmt numFmtId="166" formatCode="0.0%"/>
    <numFmt numFmtId="167" formatCode="0.0000"/>
    <numFmt numFmtId="168" formatCode="0.0000%"/>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color rgb="FF202122"/>
      <name val="Times New Roman"/>
      <family val="1"/>
    </font>
    <font>
      <b/>
      <sz val="11"/>
      <color rgb="FFC00000"/>
      <name val="Aptos Narrow"/>
      <family val="2"/>
      <scheme val="minor"/>
    </font>
    <font>
      <i/>
      <sz val="11"/>
      <color theme="1"/>
      <name val="Aptos Narrow"/>
      <family val="2"/>
      <scheme val="minor"/>
    </font>
    <font>
      <b/>
      <sz val="11"/>
      <name val="Aptos Narrow"/>
      <family val="2"/>
      <scheme val="minor"/>
    </font>
    <font>
      <b/>
      <sz val="14"/>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5">
    <xf numFmtId="0" fontId="0" fillId="0" borderId="0" xfId="0"/>
    <xf numFmtId="164" fontId="0" fillId="0" borderId="0" xfId="0" applyNumberFormat="1"/>
    <xf numFmtId="165" fontId="0" fillId="0" borderId="0" xfId="0" applyNumberFormat="1"/>
    <xf numFmtId="0" fontId="18" fillId="0" borderId="0" xfId="0" applyFont="1"/>
    <xf numFmtId="11" fontId="0" fillId="0" borderId="0" xfId="0" applyNumberFormat="1"/>
    <xf numFmtId="0" fontId="0" fillId="0" borderId="0" xfId="0" pivotButton="1"/>
    <xf numFmtId="165" fontId="0" fillId="0" borderId="0" xfId="0" applyNumberFormat="1" applyAlignment="1">
      <alignment horizontal="left"/>
    </xf>
    <xf numFmtId="0" fontId="0" fillId="0" borderId="0" xfId="0" applyAlignment="1">
      <alignment horizontal="left" indent="1"/>
    </xf>
    <xf numFmtId="0" fontId="0" fillId="0" borderId="0" xfId="0" applyAlignment="1">
      <alignment horizontal="left"/>
    </xf>
    <xf numFmtId="166" fontId="0" fillId="0" borderId="0" xfId="42" applyNumberFormat="1" applyFont="1"/>
    <xf numFmtId="0" fontId="0" fillId="0" borderId="0" xfId="0" applyAlignment="1">
      <alignment horizontal="right" wrapText="1"/>
    </xf>
    <xf numFmtId="0" fontId="0" fillId="0" borderId="0" xfId="0" applyAlignment="1">
      <alignment horizontal="center" wrapText="1"/>
    </xf>
    <xf numFmtId="0" fontId="0" fillId="0" borderId="0" xfId="0" applyAlignment="1">
      <alignment horizontal="center"/>
    </xf>
    <xf numFmtId="167" fontId="0" fillId="0" borderId="0" xfId="42" applyNumberFormat="1" applyFont="1"/>
    <xf numFmtId="1" fontId="0" fillId="0" borderId="0" xfId="42" applyNumberFormat="1" applyFont="1" applyAlignment="1">
      <alignment horizontal="right"/>
    </xf>
    <xf numFmtId="0" fontId="16" fillId="0" borderId="0" xfId="0" applyFont="1"/>
    <xf numFmtId="166" fontId="0" fillId="0" borderId="0" xfId="42" applyNumberFormat="1" applyFont="1" applyAlignment="1">
      <alignment horizontal="right"/>
    </xf>
    <xf numFmtId="1" fontId="0" fillId="0" borderId="0" xfId="0" applyNumberFormat="1"/>
    <xf numFmtId="164" fontId="16" fillId="0" borderId="0" xfId="0" applyNumberFormat="1" applyFont="1"/>
    <xf numFmtId="164" fontId="19" fillId="0" borderId="0" xfId="0" applyNumberFormat="1" applyFont="1"/>
    <xf numFmtId="0" fontId="19" fillId="0" borderId="0" xfId="0" applyFont="1"/>
    <xf numFmtId="2" fontId="0" fillId="0" borderId="0" xfId="0" applyNumberFormat="1"/>
    <xf numFmtId="2" fontId="16" fillId="0" borderId="0" xfId="0" applyNumberFormat="1" applyFont="1"/>
    <xf numFmtId="0" fontId="0" fillId="0" borderId="10" xfId="0" applyBorder="1"/>
    <xf numFmtId="164" fontId="0" fillId="0" borderId="10" xfId="0" applyNumberFormat="1" applyBorder="1"/>
    <xf numFmtId="0" fontId="16" fillId="0" borderId="11" xfId="0" applyFont="1" applyBorder="1"/>
    <xf numFmtId="0" fontId="16" fillId="0" borderId="12" xfId="0" applyFont="1" applyBorder="1"/>
    <xf numFmtId="168" fontId="0" fillId="0" borderId="0" xfId="0" applyNumberFormat="1"/>
    <xf numFmtId="164" fontId="16" fillId="0" borderId="10" xfId="0" applyNumberFormat="1" applyFont="1" applyBorder="1"/>
    <xf numFmtId="0" fontId="20" fillId="0" borderId="11" xfId="0" applyFont="1" applyBorder="1"/>
    <xf numFmtId="164" fontId="21" fillId="0" borderId="0" xfId="0" applyNumberFormat="1" applyFont="1"/>
    <xf numFmtId="0" fontId="0" fillId="0" borderId="0" xfId="0" applyAlignment="1">
      <alignment horizontal="left" vertical="top" wrapText="1"/>
    </xf>
    <xf numFmtId="0" fontId="16" fillId="0" borderId="0" xfId="0" applyFont="1" applyAlignment="1">
      <alignment horizontal="center"/>
    </xf>
    <xf numFmtId="0" fontId="22" fillId="0" borderId="0" xfId="0" applyFont="1"/>
    <xf numFmtId="0" fontId="22" fillId="0" borderId="0" xfId="0" applyFont="1" applyAlignme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6">
    <dxf>
      <numFmt numFmtId="168" formatCode="0.0000%"/>
    </dxf>
    <dxf>
      <numFmt numFmtId="168" formatCode="0.0000%"/>
    </dxf>
    <dxf>
      <numFmt numFmtId="168" formatCode="0.0000%"/>
    </dxf>
    <dxf>
      <numFmt numFmtId="168" formatCode="0.0000%"/>
    </dxf>
    <dxf>
      <numFmt numFmtId="168" formatCode="0.0000%"/>
    </dxf>
    <dxf>
      <numFmt numFmtId="168" formatCode="0.0000%"/>
    </dxf>
    <dxf>
      <numFmt numFmtId="15" formatCode="0.00E+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0.00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FP Removed by %</a:t>
            </a:r>
            <a:r>
              <a:rPr lang="en-US" baseline="0"/>
              <a:t> of FN Added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FDR Based ROC</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Table!$O$42:$O$56</c:f>
              <c:numCache>
                <c:formatCode>General</c:formatCode>
                <c:ptCount val="15"/>
                <c:pt idx="0">
                  <c:v>0.95772048330320603</c:v>
                </c:pt>
                <c:pt idx="1">
                  <c:v>0.93821650721039862</c:v>
                </c:pt>
                <c:pt idx="2">
                  <c:v>0.86815836869257301</c:v>
                </c:pt>
                <c:pt idx="3">
                  <c:v>0.70413100111648674</c:v>
                </c:pt>
                <c:pt idx="4">
                  <c:v>0.54647655607348511</c:v>
                </c:pt>
                <c:pt idx="5">
                  <c:v>0.90918828850273747</c:v>
                </c:pt>
                <c:pt idx="6">
                  <c:v>0.65514581083166179</c:v>
                </c:pt>
                <c:pt idx="7">
                  <c:v>0.25959031657355702</c:v>
                </c:pt>
                <c:pt idx="8">
                  <c:v>0.23623623623623624</c:v>
                </c:pt>
                <c:pt idx="9">
                  <c:v>0.18429319371727748</c:v>
                </c:pt>
                <c:pt idx="10">
                  <c:v>0.93394719533965986</c:v>
                </c:pt>
                <c:pt idx="11">
                  <c:v>0.52485380116959068</c:v>
                </c:pt>
                <c:pt idx="12">
                  <c:v>0.22831050228310501</c:v>
                </c:pt>
                <c:pt idx="13">
                  <c:v>0.19806763285024154</c:v>
                </c:pt>
                <c:pt idx="14">
                  <c:v>0</c:v>
                </c:pt>
              </c:numCache>
            </c:numRef>
          </c:xVal>
          <c:yVal>
            <c:numRef>
              <c:f>Table!$P$42:$P$56</c:f>
              <c:numCache>
                <c:formatCode>General</c:formatCode>
                <c:ptCount val="15"/>
                <c:pt idx="0">
                  <c:v>0.17703703703703705</c:v>
                </c:pt>
                <c:pt idx="1">
                  <c:v>0.17962962962962964</c:v>
                </c:pt>
                <c:pt idx="2">
                  <c:v>0.20018518518518519</c:v>
                </c:pt>
                <c:pt idx="3">
                  <c:v>0.2638888888888889</c:v>
                </c:pt>
                <c:pt idx="4">
                  <c:v>0.38740740740740742</c:v>
                </c:pt>
                <c:pt idx="5">
                  <c:v>0.57611111111111113</c:v>
                </c:pt>
                <c:pt idx="6">
                  <c:v>0.58611111111111114</c:v>
                </c:pt>
                <c:pt idx="7">
                  <c:v>0.63185185185185189</c:v>
                </c:pt>
                <c:pt idx="8">
                  <c:v>0.71740740740740738</c:v>
                </c:pt>
                <c:pt idx="9">
                  <c:v>0.85574074074074069</c:v>
                </c:pt>
                <c:pt idx="10">
                  <c:v>0.86981481481481482</c:v>
                </c:pt>
                <c:pt idx="11">
                  <c:v>0.87962962962962965</c:v>
                </c:pt>
                <c:pt idx="12">
                  <c:v>0.90611111111111109</c:v>
                </c:pt>
                <c:pt idx="13">
                  <c:v>0.96925925925925926</c:v>
                </c:pt>
                <c:pt idx="14">
                  <c:v>1</c:v>
                </c:pt>
              </c:numCache>
            </c:numRef>
          </c:yVal>
          <c:smooth val="0"/>
          <c:extLst>
            <c:ext xmlns:c16="http://schemas.microsoft.com/office/drawing/2014/chart" uri="{C3380CC4-5D6E-409C-BE32-E72D297353CC}">
              <c16:uniqueId val="{00000000-F5ED-4C16-AE12-1E8E9A18587D}"/>
            </c:ext>
          </c:extLst>
        </c:ser>
        <c:ser>
          <c:idx val="1"/>
          <c:order val="1"/>
          <c:tx>
            <c:v>FPR Based ROC</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Table!$O$25:$O$39</c:f>
              <c:numCache>
                <c:formatCode>General</c:formatCode>
                <c:ptCount val="15"/>
                <c:pt idx="0">
                  <c:v>4.9633172270979194E-2</c:v>
                </c:pt>
                <c:pt idx="1">
                  <c:v>3.3168326595010351E-2</c:v>
                </c:pt>
                <c:pt idx="2">
                  <c:v>1.4022285770634059E-2</c:v>
                </c:pt>
                <c:pt idx="3">
                  <c:v>4.6642342964204712E-3</c:v>
                </c:pt>
                <c:pt idx="4">
                  <c:v>1.9652894191894291E-3</c:v>
                </c:pt>
                <c:pt idx="5">
                  <c:v>1.1299181540282024E-2</c:v>
                </c:pt>
                <c:pt idx="6">
                  <c:v>2.0934819051375603E-3</c:v>
                </c:pt>
                <c:pt idx="7">
                  <c:v>3.4365447194556752E-4</c:v>
                </c:pt>
                <c:pt idx="8">
                  <c:v>2.3271866679814613E-4</c:v>
                </c:pt>
                <c:pt idx="9">
                  <c:v>8.6776452026427367E-5</c:v>
                </c:pt>
                <c:pt idx="10">
                  <c:v>4.9008973474016365E-3</c:v>
                </c:pt>
                <c:pt idx="11">
                  <c:v>3.5400848042599348E-4</c:v>
                </c:pt>
                <c:pt idx="12">
                  <c:v>7.3957203431614243E-5</c:v>
                </c:pt>
                <c:pt idx="13">
                  <c:v>2.021496893797456E-5</c:v>
                </c:pt>
                <c:pt idx="14">
                  <c:v>0</c:v>
                </c:pt>
              </c:numCache>
            </c:numRef>
          </c:xVal>
          <c:yVal>
            <c:numRef>
              <c:f>Table!$P$42:$P$56</c:f>
              <c:numCache>
                <c:formatCode>General</c:formatCode>
                <c:ptCount val="15"/>
                <c:pt idx="0">
                  <c:v>0.17703703703703705</c:v>
                </c:pt>
                <c:pt idx="1">
                  <c:v>0.17962962962962964</c:v>
                </c:pt>
                <c:pt idx="2">
                  <c:v>0.20018518518518519</c:v>
                </c:pt>
                <c:pt idx="3">
                  <c:v>0.2638888888888889</c:v>
                </c:pt>
                <c:pt idx="4">
                  <c:v>0.38740740740740742</c:v>
                </c:pt>
                <c:pt idx="5">
                  <c:v>0.57611111111111113</c:v>
                </c:pt>
                <c:pt idx="6">
                  <c:v>0.58611111111111114</c:v>
                </c:pt>
                <c:pt idx="7">
                  <c:v>0.63185185185185189</c:v>
                </c:pt>
                <c:pt idx="8">
                  <c:v>0.71740740740740738</c:v>
                </c:pt>
                <c:pt idx="9">
                  <c:v>0.85574074074074069</c:v>
                </c:pt>
                <c:pt idx="10">
                  <c:v>0.86981481481481482</c:v>
                </c:pt>
                <c:pt idx="11">
                  <c:v>0.87962962962962965</c:v>
                </c:pt>
                <c:pt idx="12">
                  <c:v>0.90611111111111109</c:v>
                </c:pt>
                <c:pt idx="13">
                  <c:v>0.96925925925925926</c:v>
                </c:pt>
                <c:pt idx="14">
                  <c:v>1</c:v>
                </c:pt>
              </c:numCache>
            </c:numRef>
          </c:yVal>
          <c:smooth val="0"/>
          <c:extLst>
            <c:ext xmlns:c16="http://schemas.microsoft.com/office/drawing/2014/chart" uri="{C3380CC4-5D6E-409C-BE32-E72D297353CC}">
              <c16:uniqueId val="{00000001-F5ED-4C16-AE12-1E8E9A18587D}"/>
            </c:ext>
          </c:extLst>
        </c:ser>
        <c:dLbls>
          <c:showLegendKey val="0"/>
          <c:showVal val="0"/>
          <c:showCatName val="0"/>
          <c:showSerName val="0"/>
          <c:showPercent val="0"/>
          <c:showBubbleSize val="0"/>
        </c:dLbls>
        <c:axId val="164873872"/>
        <c:axId val="164866672"/>
      </c:scatterChart>
      <c:valAx>
        <c:axId val="164873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66672"/>
        <c:crosses val="autoZero"/>
        <c:crossBetween val="midCat"/>
      </c:valAx>
      <c:valAx>
        <c:axId val="164866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738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FP Removed by %</a:t>
            </a:r>
            <a:r>
              <a:rPr lang="en-US" baseline="0"/>
              <a:t> of FN Added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Table_eFDR!$P$4</c:f>
              <c:strCache>
                <c:ptCount val="1"/>
                <c:pt idx="0">
                  <c:v>% of FP Removed</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Table_eFDR!$O$5:$O$19</c:f>
              <c:numCache>
                <c:formatCode>0.0%</c:formatCode>
                <c:ptCount val="15"/>
                <c:pt idx="0">
                  <c:v>0</c:v>
                </c:pt>
                <c:pt idx="1">
                  <c:v>1.4644351464435146E-2</c:v>
                </c:pt>
                <c:pt idx="2">
                  <c:v>0.1307531380753138</c:v>
                </c:pt>
                <c:pt idx="3">
                  <c:v>0.4905857740585774</c:v>
                </c:pt>
                <c:pt idx="4">
                  <c:v>1.1882845188284519</c:v>
                </c:pt>
                <c:pt idx="5">
                  <c:v>2.25418410041841</c:v>
                </c:pt>
                <c:pt idx="6">
                  <c:v>2.3106694560669454</c:v>
                </c:pt>
                <c:pt idx="7">
                  <c:v>2.5690376569037658</c:v>
                </c:pt>
                <c:pt idx="8">
                  <c:v>3.0523012552301254</c:v>
                </c:pt>
                <c:pt idx="9">
                  <c:v>3.8336820083682008</c:v>
                </c:pt>
                <c:pt idx="10">
                  <c:v>3.9131799163179917</c:v>
                </c:pt>
                <c:pt idx="11">
                  <c:v>3.9686192468619246</c:v>
                </c:pt>
                <c:pt idx="12">
                  <c:v>4.1182008368200833</c:v>
                </c:pt>
                <c:pt idx="13">
                  <c:v>4.47489539748954</c:v>
                </c:pt>
                <c:pt idx="14">
                  <c:v>4.6485355648535567</c:v>
                </c:pt>
              </c:numCache>
            </c:numRef>
          </c:xVal>
          <c:yVal>
            <c:numRef>
              <c:f>Table_eFDR!$P$5:$P$19</c:f>
              <c:numCache>
                <c:formatCode>0.0%</c:formatCode>
                <c:ptCount val="15"/>
                <c:pt idx="0">
                  <c:v>0</c:v>
                </c:pt>
                <c:pt idx="1">
                  <c:v>0.31783845495195501</c:v>
                </c:pt>
                <c:pt idx="2">
                  <c:v>0.68833602892208168</c:v>
                </c:pt>
                <c:pt idx="3">
                  <c:v>0.87218152411759109</c:v>
                </c:pt>
                <c:pt idx="4">
                  <c:v>0.93060603177623447</c:v>
                </c:pt>
                <c:pt idx="5">
                  <c:v>0.76019408238987729</c:v>
                </c:pt>
                <c:pt idx="6">
                  <c:v>0.93834078584340219</c:v>
                </c:pt>
                <c:pt idx="7">
                  <c:v>0.97445533250880034</c:v>
                </c:pt>
                <c:pt idx="8">
                  <c:v>0.98099134240319663</c:v>
                </c:pt>
                <c:pt idx="9">
                  <c:v>0.99091428027780426</c:v>
                </c:pt>
                <c:pt idx="10">
                  <c:v>0.89874417277138241</c:v>
                </c:pt>
                <c:pt idx="11">
                  <c:v>0.9869850632670536</c:v>
                </c:pt>
                <c:pt idx="12">
                  <c:v>0.99374940538483492</c:v>
                </c:pt>
                <c:pt idx="13">
                  <c:v>0.99803063457330421</c:v>
                </c:pt>
                <c:pt idx="14">
                  <c:v>1</c:v>
                </c:pt>
              </c:numCache>
            </c:numRef>
          </c:yVal>
          <c:smooth val="0"/>
          <c:extLst>
            <c:ext xmlns:c16="http://schemas.microsoft.com/office/drawing/2014/chart" uri="{C3380CC4-5D6E-409C-BE32-E72D297353CC}">
              <c16:uniqueId val="{00000000-802F-4F44-ABB7-5819021BB272}"/>
            </c:ext>
          </c:extLst>
        </c:ser>
        <c:dLbls>
          <c:showLegendKey val="0"/>
          <c:showVal val="0"/>
          <c:showCatName val="0"/>
          <c:showSerName val="0"/>
          <c:showPercent val="0"/>
          <c:showBubbleSize val="0"/>
        </c:dLbls>
        <c:axId val="164873872"/>
        <c:axId val="164866672"/>
      </c:scatterChart>
      <c:valAx>
        <c:axId val="164873872"/>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66672"/>
        <c:crosses val="autoZero"/>
        <c:crossBetween val="midCat"/>
      </c:valAx>
      <c:valAx>
        <c:axId val="16486667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738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FP Removed by % FN Added by Cluster</a:t>
            </a:r>
            <a:r>
              <a:rPr lang="en-US" baseline="0"/>
              <a:t> Size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1</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Table_eFDR!$R$5:$R$7</c:f>
              <c:numCache>
                <c:formatCode>General</c:formatCode>
                <c:ptCount val="3"/>
                <c:pt idx="0">
                  <c:v>0</c:v>
                </c:pt>
                <c:pt idx="1">
                  <c:v>2.25418410041841</c:v>
                </c:pt>
                <c:pt idx="2">
                  <c:v>3.9131799163179899</c:v>
                </c:pt>
              </c:numCache>
            </c:numRef>
          </c:xVal>
          <c:yVal>
            <c:numRef>
              <c:f>Table_eFDR!$S$5:$S$7</c:f>
              <c:numCache>
                <c:formatCode>General</c:formatCode>
                <c:ptCount val="3"/>
                <c:pt idx="0">
                  <c:v>0</c:v>
                </c:pt>
                <c:pt idx="1">
                  <c:v>0.76019408238987696</c:v>
                </c:pt>
                <c:pt idx="2">
                  <c:v>0.89874417277138197</c:v>
                </c:pt>
              </c:numCache>
            </c:numRef>
          </c:yVal>
          <c:smooth val="0"/>
          <c:extLst>
            <c:ext xmlns:c16="http://schemas.microsoft.com/office/drawing/2014/chart" uri="{C3380CC4-5D6E-409C-BE32-E72D297353CC}">
              <c16:uniqueId val="{00000000-75E3-4AD1-8287-B3E5F47F5E01}"/>
            </c:ext>
          </c:extLst>
        </c:ser>
        <c:ser>
          <c:idx val="1"/>
          <c:order val="1"/>
          <c:tx>
            <c:v>8</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Table_eFDR!$R$10:$R$12</c:f>
              <c:numCache>
                <c:formatCode>General</c:formatCode>
                <c:ptCount val="3"/>
                <c:pt idx="0">
                  <c:v>1.4644351464435146E-2</c:v>
                </c:pt>
                <c:pt idx="1">
                  <c:v>2.3106694560669454</c:v>
                </c:pt>
                <c:pt idx="2">
                  <c:v>3.9686192468619246</c:v>
                </c:pt>
              </c:numCache>
            </c:numRef>
          </c:xVal>
          <c:yVal>
            <c:numRef>
              <c:f>Table_eFDR!$S$10:$S$12</c:f>
              <c:numCache>
                <c:formatCode>General</c:formatCode>
                <c:ptCount val="3"/>
                <c:pt idx="0">
                  <c:v>0.31783845495195501</c:v>
                </c:pt>
                <c:pt idx="1">
                  <c:v>0.93834078584340219</c:v>
                </c:pt>
                <c:pt idx="2">
                  <c:v>0.9869850632670536</c:v>
                </c:pt>
              </c:numCache>
            </c:numRef>
          </c:yVal>
          <c:smooth val="0"/>
          <c:extLst>
            <c:ext xmlns:c16="http://schemas.microsoft.com/office/drawing/2014/chart" uri="{C3380CC4-5D6E-409C-BE32-E72D297353CC}">
              <c16:uniqueId val="{00000002-75E3-4AD1-8287-B3E5F47F5E01}"/>
            </c:ext>
          </c:extLst>
        </c:ser>
        <c:ser>
          <c:idx val="2"/>
          <c:order val="2"/>
          <c:tx>
            <c:v>27</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Table_eFDR!$R$15:$R$17</c:f>
              <c:numCache>
                <c:formatCode>General</c:formatCode>
                <c:ptCount val="3"/>
                <c:pt idx="0">
                  <c:v>0.1307531380753138</c:v>
                </c:pt>
                <c:pt idx="1">
                  <c:v>2.5690376569037658</c:v>
                </c:pt>
                <c:pt idx="2">
                  <c:v>4.1182008368200833</c:v>
                </c:pt>
              </c:numCache>
            </c:numRef>
          </c:xVal>
          <c:yVal>
            <c:numRef>
              <c:f>Table_eFDR!$S$15:$S$17</c:f>
              <c:numCache>
                <c:formatCode>General</c:formatCode>
                <c:ptCount val="3"/>
                <c:pt idx="0">
                  <c:v>0.68833602892208168</c:v>
                </c:pt>
                <c:pt idx="1">
                  <c:v>0.97445533250880034</c:v>
                </c:pt>
                <c:pt idx="2">
                  <c:v>0.99374940538483492</c:v>
                </c:pt>
              </c:numCache>
            </c:numRef>
          </c:yVal>
          <c:smooth val="0"/>
          <c:extLst>
            <c:ext xmlns:c16="http://schemas.microsoft.com/office/drawing/2014/chart" uri="{C3380CC4-5D6E-409C-BE32-E72D297353CC}">
              <c16:uniqueId val="{00000003-75E3-4AD1-8287-B3E5F47F5E01}"/>
            </c:ext>
          </c:extLst>
        </c:ser>
        <c:ser>
          <c:idx val="3"/>
          <c:order val="3"/>
          <c:tx>
            <c:v>64</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Table_eFDR!$R$20:$R$22</c:f>
              <c:numCache>
                <c:formatCode>General</c:formatCode>
                <c:ptCount val="3"/>
                <c:pt idx="0">
                  <c:v>0.4905857740585774</c:v>
                </c:pt>
                <c:pt idx="1">
                  <c:v>3.0523012552301254</c:v>
                </c:pt>
                <c:pt idx="2">
                  <c:v>4.47489539748954</c:v>
                </c:pt>
              </c:numCache>
            </c:numRef>
          </c:xVal>
          <c:yVal>
            <c:numRef>
              <c:f>Table_eFDR!$S$20:$S$22</c:f>
              <c:numCache>
                <c:formatCode>General</c:formatCode>
                <c:ptCount val="3"/>
                <c:pt idx="0">
                  <c:v>0.87218152411759109</c:v>
                </c:pt>
                <c:pt idx="1">
                  <c:v>0.98099134240319663</c:v>
                </c:pt>
                <c:pt idx="2">
                  <c:v>0.99803063457330421</c:v>
                </c:pt>
              </c:numCache>
            </c:numRef>
          </c:yVal>
          <c:smooth val="0"/>
          <c:extLst>
            <c:ext xmlns:c16="http://schemas.microsoft.com/office/drawing/2014/chart" uri="{C3380CC4-5D6E-409C-BE32-E72D297353CC}">
              <c16:uniqueId val="{00000004-75E3-4AD1-8287-B3E5F47F5E01}"/>
            </c:ext>
          </c:extLst>
        </c:ser>
        <c:ser>
          <c:idx val="4"/>
          <c:order val="4"/>
          <c:tx>
            <c:v>125</c:v>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Table_eFDR!$R$25:$R$27</c:f>
              <c:numCache>
                <c:formatCode>General</c:formatCode>
                <c:ptCount val="3"/>
                <c:pt idx="0">
                  <c:v>1.1882845188284519</c:v>
                </c:pt>
                <c:pt idx="1">
                  <c:v>3.8336820083682008</c:v>
                </c:pt>
                <c:pt idx="2">
                  <c:v>4.6485355648535567</c:v>
                </c:pt>
              </c:numCache>
            </c:numRef>
          </c:xVal>
          <c:yVal>
            <c:numRef>
              <c:f>Table_eFDR!$S$25:$S$27</c:f>
              <c:numCache>
                <c:formatCode>General</c:formatCode>
                <c:ptCount val="3"/>
                <c:pt idx="0">
                  <c:v>0.93060603177623447</c:v>
                </c:pt>
                <c:pt idx="1">
                  <c:v>0.99091428027780426</c:v>
                </c:pt>
                <c:pt idx="2">
                  <c:v>1</c:v>
                </c:pt>
              </c:numCache>
            </c:numRef>
          </c:yVal>
          <c:smooth val="0"/>
          <c:extLst>
            <c:ext xmlns:c16="http://schemas.microsoft.com/office/drawing/2014/chart" uri="{C3380CC4-5D6E-409C-BE32-E72D297353CC}">
              <c16:uniqueId val="{00000005-75E3-4AD1-8287-B3E5F47F5E01}"/>
            </c:ext>
          </c:extLst>
        </c:ser>
        <c:dLbls>
          <c:showLegendKey val="0"/>
          <c:showVal val="0"/>
          <c:showCatName val="0"/>
          <c:showSerName val="0"/>
          <c:showPercent val="0"/>
          <c:showBubbleSize val="0"/>
        </c:dLbls>
        <c:axId val="164883952"/>
        <c:axId val="164884432"/>
      </c:scatterChart>
      <c:valAx>
        <c:axId val="164883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84432"/>
        <c:crosses val="autoZero"/>
        <c:crossBetween val="midCat"/>
      </c:valAx>
      <c:valAx>
        <c:axId val="164884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83952"/>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FP Removed by %</a:t>
            </a:r>
            <a:r>
              <a:rPr lang="en-US" baseline="0"/>
              <a:t> of FN Added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Table_eFDR!$K$24:$K$38</c:f>
              <c:numCache>
                <c:formatCode>General</c:formatCode>
                <c:ptCount val="15"/>
                <c:pt idx="0" formatCode="0.000">
                  <c:v>0.95772048330320603</c:v>
                </c:pt>
                <c:pt idx="1">
                  <c:v>0.93821650721039862</c:v>
                </c:pt>
                <c:pt idx="2">
                  <c:v>0.86815836869257301</c:v>
                </c:pt>
                <c:pt idx="3">
                  <c:v>0.70413100111648674</c:v>
                </c:pt>
                <c:pt idx="4">
                  <c:v>0.54647655607348511</c:v>
                </c:pt>
                <c:pt idx="5">
                  <c:v>0.90918828850273747</c:v>
                </c:pt>
                <c:pt idx="6">
                  <c:v>0.65514581083166179</c:v>
                </c:pt>
                <c:pt idx="7">
                  <c:v>0.25959031657355702</c:v>
                </c:pt>
                <c:pt idx="8">
                  <c:v>0.23623623623623624</c:v>
                </c:pt>
                <c:pt idx="9">
                  <c:v>0.18429319371727748</c:v>
                </c:pt>
                <c:pt idx="10">
                  <c:v>0.93394719533965986</c:v>
                </c:pt>
                <c:pt idx="11">
                  <c:v>0.52485380116959068</c:v>
                </c:pt>
                <c:pt idx="12">
                  <c:v>0.22831050228310501</c:v>
                </c:pt>
                <c:pt idx="13">
                  <c:v>0.19806763285024154</c:v>
                </c:pt>
                <c:pt idx="14">
                  <c:v>0</c:v>
                </c:pt>
              </c:numCache>
            </c:numRef>
          </c:xVal>
          <c:yVal>
            <c:numRef>
              <c:f>Table_eFDR!$L$24:$L$38</c:f>
              <c:numCache>
                <c:formatCode>General</c:formatCode>
                <c:ptCount val="15"/>
                <c:pt idx="0">
                  <c:v>0.17703703703703705</c:v>
                </c:pt>
                <c:pt idx="1">
                  <c:v>0.17962962962962964</c:v>
                </c:pt>
                <c:pt idx="2">
                  <c:v>0.20018518518518519</c:v>
                </c:pt>
                <c:pt idx="3">
                  <c:v>0.2638888888888889</c:v>
                </c:pt>
                <c:pt idx="4">
                  <c:v>0.38740740740740742</c:v>
                </c:pt>
                <c:pt idx="5">
                  <c:v>0.57611111111111113</c:v>
                </c:pt>
                <c:pt idx="6">
                  <c:v>0.58611111111111114</c:v>
                </c:pt>
                <c:pt idx="7">
                  <c:v>0.63185185185185189</c:v>
                </c:pt>
                <c:pt idx="8">
                  <c:v>0.71740740740740738</c:v>
                </c:pt>
                <c:pt idx="9">
                  <c:v>0.85574074074074069</c:v>
                </c:pt>
                <c:pt idx="10">
                  <c:v>0.86981481481481482</c:v>
                </c:pt>
                <c:pt idx="11">
                  <c:v>0.87962962962962965</c:v>
                </c:pt>
                <c:pt idx="12">
                  <c:v>0.90611111111111109</c:v>
                </c:pt>
                <c:pt idx="13">
                  <c:v>0.96925925925925926</c:v>
                </c:pt>
                <c:pt idx="14" formatCode="0.000">
                  <c:v>1</c:v>
                </c:pt>
              </c:numCache>
            </c:numRef>
          </c:yVal>
          <c:smooth val="0"/>
          <c:extLst>
            <c:ext xmlns:c16="http://schemas.microsoft.com/office/drawing/2014/chart" uri="{C3380CC4-5D6E-409C-BE32-E72D297353CC}">
              <c16:uniqueId val="{00000001-5D44-49D8-A269-C1615E59017D}"/>
            </c:ext>
          </c:extLst>
        </c:ser>
        <c:dLbls>
          <c:showLegendKey val="0"/>
          <c:showVal val="0"/>
          <c:showCatName val="0"/>
          <c:showSerName val="0"/>
          <c:showPercent val="0"/>
          <c:showBubbleSize val="0"/>
        </c:dLbls>
        <c:axId val="164873872"/>
        <c:axId val="164866672"/>
      </c:scatterChart>
      <c:valAx>
        <c:axId val="164873872"/>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66672"/>
        <c:crosses val="autoZero"/>
        <c:crossBetween val="midCat"/>
      </c:valAx>
      <c:valAx>
        <c:axId val="164866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738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FNR</a:t>
            </a:r>
            <a:r>
              <a:rPr lang="en-US" baseline="0"/>
              <a:t> across threshold indices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Table_eFDR!$L$24:$L$38</c:f>
              <c:numCache>
                <c:formatCode>General</c:formatCode>
                <c:ptCount val="15"/>
                <c:pt idx="0">
                  <c:v>0.17703703703703705</c:v>
                </c:pt>
                <c:pt idx="1">
                  <c:v>0.17962962962962964</c:v>
                </c:pt>
                <c:pt idx="2">
                  <c:v>0.20018518518518519</c:v>
                </c:pt>
                <c:pt idx="3">
                  <c:v>0.2638888888888889</c:v>
                </c:pt>
                <c:pt idx="4">
                  <c:v>0.38740740740740742</c:v>
                </c:pt>
                <c:pt idx="5">
                  <c:v>0.57611111111111113</c:v>
                </c:pt>
                <c:pt idx="6">
                  <c:v>0.58611111111111114</c:v>
                </c:pt>
                <c:pt idx="7">
                  <c:v>0.63185185185185189</c:v>
                </c:pt>
                <c:pt idx="8">
                  <c:v>0.71740740740740738</c:v>
                </c:pt>
                <c:pt idx="9">
                  <c:v>0.85574074074074069</c:v>
                </c:pt>
                <c:pt idx="10">
                  <c:v>0.86981481481481482</c:v>
                </c:pt>
                <c:pt idx="11">
                  <c:v>0.87962962962962965</c:v>
                </c:pt>
                <c:pt idx="12">
                  <c:v>0.90611111111111109</c:v>
                </c:pt>
                <c:pt idx="13">
                  <c:v>0.96925925925925926</c:v>
                </c:pt>
                <c:pt idx="14" formatCode="0.000">
                  <c:v>1</c:v>
                </c:pt>
              </c:numCache>
            </c:numRef>
          </c:val>
          <c:smooth val="0"/>
          <c:extLst>
            <c:ext xmlns:c16="http://schemas.microsoft.com/office/drawing/2014/chart" uri="{C3380CC4-5D6E-409C-BE32-E72D297353CC}">
              <c16:uniqueId val="{00000000-72F8-43B2-A49E-DB272C26F8DF}"/>
            </c:ext>
          </c:extLst>
        </c:ser>
        <c:dLbls>
          <c:showLegendKey val="0"/>
          <c:showVal val="0"/>
          <c:showCatName val="0"/>
          <c:showSerName val="0"/>
          <c:showPercent val="0"/>
          <c:showBubbleSize val="0"/>
        </c:dLbls>
        <c:marker val="1"/>
        <c:smooth val="0"/>
        <c:axId val="102184415"/>
        <c:axId val="102182015"/>
      </c:lineChart>
      <c:catAx>
        <c:axId val="102184415"/>
        <c:scaling>
          <c:orientation val="minMax"/>
        </c:scaling>
        <c:delete val="0"/>
        <c:axPos val="b"/>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82015"/>
        <c:crosses val="autoZero"/>
        <c:auto val="1"/>
        <c:lblAlgn val="ctr"/>
        <c:lblOffset val="100"/>
        <c:noMultiLvlLbl val="0"/>
      </c:catAx>
      <c:valAx>
        <c:axId val="102182015"/>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84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FDR</a:t>
            </a:r>
            <a:r>
              <a:rPr lang="en-US" baseline="0"/>
              <a:t> across threshold indices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Table_eFDR!$K$24:$K$38</c:f>
              <c:numCache>
                <c:formatCode>General</c:formatCode>
                <c:ptCount val="15"/>
                <c:pt idx="0" formatCode="0.000">
                  <c:v>0.95772048330320603</c:v>
                </c:pt>
                <c:pt idx="1">
                  <c:v>0.93821650721039862</c:v>
                </c:pt>
                <c:pt idx="2">
                  <c:v>0.86815836869257301</c:v>
                </c:pt>
                <c:pt idx="3">
                  <c:v>0.70413100111648674</c:v>
                </c:pt>
                <c:pt idx="4">
                  <c:v>0.54647655607348511</c:v>
                </c:pt>
                <c:pt idx="5">
                  <c:v>0.90918828850273747</c:v>
                </c:pt>
                <c:pt idx="6">
                  <c:v>0.65514581083166179</c:v>
                </c:pt>
                <c:pt idx="7">
                  <c:v>0.25959031657355702</c:v>
                </c:pt>
                <c:pt idx="8">
                  <c:v>0.23623623623623624</c:v>
                </c:pt>
                <c:pt idx="9">
                  <c:v>0.18429319371727748</c:v>
                </c:pt>
                <c:pt idx="10">
                  <c:v>0.93394719533965986</c:v>
                </c:pt>
                <c:pt idx="11">
                  <c:v>0.52485380116959068</c:v>
                </c:pt>
                <c:pt idx="12">
                  <c:v>0.22831050228310501</c:v>
                </c:pt>
                <c:pt idx="13">
                  <c:v>0.19806763285024154</c:v>
                </c:pt>
                <c:pt idx="14">
                  <c:v>0</c:v>
                </c:pt>
              </c:numCache>
            </c:numRef>
          </c:val>
          <c:smooth val="0"/>
          <c:extLst>
            <c:ext xmlns:c16="http://schemas.microsoft.com/office/drawing/2014/chart" uri="{C3380CC4-5D6E-409C-BE32-E72D297353CC}">
              <c16:uniqueId val="{00000000-DA4C-4A5C-837C-1720F9801451}"/>
            </c:ext>
          </c:extLst>
        </c:ser>
        <c:dLbls>
          <c:showLegendKey val="0"/>
          <c:showVal val="0"/>
          <c:showCatName val="0"/>
          <c:showSerName val="0"/>
          <c:showPercent val="0"/>
          <c:showBubbleSize val="0"/>
        </c:dLbls>
        <c:marker val="1"/>
        <c:smooth val="0"/>
        <c:axId val="102184415"/>
        <c:axId val="102182015"/>
      </c:lineChart>
      <c:catAx>
        <c:axId val="102184415"/>
        <c:scaling>
          <c:orientation val="minMax"/>
        </c:scaling>
        <c:delete val="0"/>
        <c:axPos val="b"/>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82015"/>
        <c:crosses val="autoZero"/>
        <c:auto val="1"/>
        <c:lblAlgn val="ctr"/>
        <c:lblOffset val="100"/>
        <c:noMultiLvlLbl val="0"/>
      </c:catAx>
      <c:valAx>
        <c:axId val="102182015"/>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84415"/>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FDR by FNR - find smooth function</a:t>
            </a:r>
            <a:r>
              <a:rPr lang="en-US" baseline="0"/>
              <a:t> to determine the combination of effect and cluster size (maybe from n = 5 from above)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Table_eFDR!$L$24:$L$38</c:f>
              <c:numCache>
                <c:formatCode>General</c:formatCode>
                <c:ptCount val="15"/>
                <c:pt idx="0">
                  <c:v>0.17703703703703705</c:v>
                </c:pt>
                <c:pt idx="1">
                  <c:v>0.17962962962962964</c:v>
                </c:pt>
                <c:pt idx="2">
                  <c:v>0.20018518518518519</c:v>
                </c:pt>
                <c:pt idx="3">
                  <c:v>0.2638888888888889</c:v>
                </c:pt>
                <c:pt idx="4">
                  <c:v>0.38740740740740742</c:v>
                </c:pt>
                <c:pt idx="5">
                  <c:v>0.57611111111111113</c:v>
                </c:pt>
                <c:pt idx="6">
                  <c:v>0.58611111111111114</c:v>
                </c:pt>
                <c:pt idx="7">
                  <c:v>0.63185185185185189</c:v>
                </c:pt>
                <c:pt idx="8">
                  <c:v>0.71740740740740738</c:v>
                </c:pt>
                <c:pt idx="9">
                  <c:v>0.85574074074074069</c:v>
                </c:pt>
                <c:pt idx="10">
                  <c:v>0.86981481481481482</c:v>
                </c:pt>
                <c:pt idx="11">
                  <c:v>0.87962962962962965</c:v>
                </c:pt>
                <c:pt idx="12">
                  <c:v>0.90611111111111109</c:v>
                </c:pt>
                <c:pt idx="13">
                  <c:v>0.96925925925925926</c:v>
                </c:pt>
                <c:pt idx="14" formatCode="0.000">
                  <c:v>1</c:v>
                </c:pt>
              </c:numCache>
            </c:numRef>
          </c:xVal>
          <c:yVal>
            <c:numRef>
              <c:f>Table_eFDR!$K$24:$K$38</c:f>
              <c:numCache>
                <c:formatCode>General</c:formatCode>
                <c:ptCount val="15"/>
                <c:pt idx="0" formatCode="0.000">
                  <c:v>0.95772048330320603</c:v>
                </c:pt>
                <c:pt idx="1">
                  <c:v>0.93821650721039862</c:v>
                </c:pt>
                <c:pt idx="2">
                  <c:v>0.86815836869257301</c:v>
                </c:pt>
                <c:pt idx="3">
                  <c:v>0.70413100111648674</c:v>
                </c:pt>
                <c:pt idx="4">
                  <c:v>0.54647655607348511</c:v>
                </c:pt>
                <c:pt idx="5">
                  <c:v>0.90918828850273747</c:v>
                </c:pt>
                <c:pt idx="6">
                  <c:v>0.65514581083166179</c:v>
                </c:pt>
                <c:pt idx="7">
                  <c:v>0.25959031657355702</c:v>
                </c:pt>
                <c:pt idx="8">
                  <c:v>0.23623623623623624</c:v>
                </c:pt>
                <c:pt idx="9">
                  <c:v>0.18429319371727748</c:v>
                </c:pt>
                <c:pt idx="10">
                  <c:v>0.93394719533965986</c:v>
                </c:pt>
                <c:pt idx="11">
                  <c:v>0.52485380116959068</c:v>
                </c:pt>
                <c:pt idx="12">
                  <c:v>0.22831050228310501</c:v>
                </c:pt>
                <c:pt idx="13">
                  <c:v>0.19806763285024154</c:v>
                </c:pt>
                <c:pt idx="14">
                  <c:v>0</c:v>
                </c:pt>
              </c:numCache>
            </c:numRef>
          </c:yVal>
          <c:smooth val="0"/>
          <c:extLst>
            <c:ext xmlns:c16="http://schemas.microsoft.com/office/drawing/2014/chart" uri="{C3380CC4-5D6E-409C-BE32-E72D297353CC}">
              <c16:uniqueId val="{00000005-6D0C-408B-B7CB-D6440BD6C0F5}"/>
            </c:ext>
          </c:extLst>
        </c:ser>
        <c:dLbls>
          <c:showLegendKey val="0"/>
          <c:showVal val="0"/>
          <c:showCatName val="0"/>
          <c:showSerName val="0"/>
          <c:showPercent val="0"/>
          <c:showBubbleSize val="0"/>
        </c:dLbls>
        <c:axId val="164883952"/>
        <c:axId val="164884432"/>
      </c:scatterChart>
      <c:valAx>
        <c:axId val="164883952"/>
        <c:scaling>
          <c:orientation val="minMax"/>
          <c:max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FNR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84432"/>
        <c:crosses val="autoZero"/>
        <c:crossBetween val="midCat"/>
        <c:majorUnit val="0.1"/>
      </c:valAx>
      <c:valAx>
        <c:axId val="164884432"/>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FDR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839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FDR by FNR - find smooth function</a:t>
            </a:r>
            <a:r>
              <a:rPr lang="en-US" baseline="0"/>
              <a:t> to determine the combination of effect and cluster size (maybe from n = 5 from above)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0.11274955175535439"/>
                  <c:y val="-0.436601397301906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(Table_eFDR!$L$24:$L$28,Table_eFDR!$L$31:$L$33,Table_eFDR!$L$36:$L$37)</c:f>
              <c:numCache>
                <c:formatCode>General</c:formatCode>
                <c:ptCount val="10"/>
                <c:pt idx="0">
                  <c:v>0.17703703703703705</c:v>
                </c:pt>
                <c:pt idx="1">
                  <c:v>0.17962962962962964</c:v>
                </c:pt>
                <c:pt idx="2">
                  <c:v>0.20018518518518519</c:v>
                </c:pt>
                <c:pt idx="3">
                  <c:v>0.2638888888888889</c:v>
                </c:pt>
                <c:pt idx="4">
                  <c:v>0.38740740740740742</c:v>
                </c:pt>
                <c:pt idx="5">
                  <c:v>0.63185185185185189</c:v>
                </c:pt>
                <c:pt idx="6">
                  <c:v>0.71740740740740738</c:v>
                </c:pt>
                <c:pt idx="7">
                  <c:v>0.85574074074074069</c:v>
                </c:pt>
                <c:pt idx="8">
                  <c:v>0.90611111111111109</c:v>
                </c:pt>
                <c:pt idx="9">
                  <c:v>0.96925925925925926</c:v>
                </c:pt>
              </c:numCache>
            </c:numRef>
          </c:xVal>
          <c:yVal>
            <c:numRef>
              <c:f>(Table_eFDR!$K$24:$K$28,Table_eFDR!$K$31:$K$33,Table_eFDR!$K$36:$K$37)</c:f>
              <c:numCache>
                <c:formatCode>General</c:formatCode>
                <c:ptCount val="10"/>
                <c:pt idx="0" formatCode="0.000">
                  <c:v>0.95772048330320603</c:v>
                </c:pt>
                <c:pt idx="1">
                  <c:v>0.93821650721039862</c:v>
                </c:pt>
                <c:pt idx="2">
                  <c:v>0.86815836869257301</c:v>
                </c:pt>
                <c:pt idx="3">
                  <c:v>0.70413100111648674</c:v>
                </c:pt>
                <c:pt idx="4">
                  <c:v>0.54647655607348511</c:v>
                </c:pt>
                <c:pt idx="5">
                  <c:v>0.25959031657355702</c:v>
                </c:pt>
                <c:pt idx="6">
                  <c:v>0.23623623623623624</c:v>
                </c:pt>
                <c:pt idx="7">
                  <c:v>0.18429319371727748</c:v>
                </c:pt>
                <c:pt idx="8">
                  <c:v>0.22831050228310501</c:v>
                </c:pt>
                <c:pt idx="9">
                  <c:v>0.19806763285024154</c:v>
                </c:pt>
              </c:numCache>
            </c:numRef>
          </c:yVal>
          <c:smooth val="0"/>
          <c:extLst>
            <c:ext xmlns:c16="http://schemas.microsoft.com/office/drawing/2014/chart" uri="{C3380CC4-5D6E-409C-BE32-E72D297353CC}">
              <c16:uniqueId val="{00000000-267B-4973-A87C-91F970F6EC25}"/>
            </c:ext>
          </c:extLst>
        </c:ser>
        <c:dLbls>
          <c:showLegendKey val="0"/>
          <c:showVal val="0"/>
          <c:showCatName val="0"/>
          <c:showSerName val="0"/>
          <c:showPercent val="0"/>
          <c:showBubbleSize val="0"/>
        </c:dLbls>
        <c:axId val="164883952"/>
        <c:axId val="164884432"/>
      </c:scatterChart>
      <c:valAx>
        <c:axId val="164883952"/>
        <c:scaling>
          <c:orientation val="minMax"/>
          <c:max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FNR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84432"/>
        <c:crosses val="autoZero"/>
        <c:crossBetween val="midCat"/>
        <c:majorUnit val="0.1"/>
      </c:valAx>
      <c:valAx>
        <c:axId val="164884432"/>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FDR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839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FDR by FNR - find smooth function</a:t>
            </a:r>
            <a:r>
              <a:rPr lang="en-US" baseline="0"/>
              <a:t> to determine the combination of effect and cluster size (maybe from n = 5 from above)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0"/>
            <c:dispEq val="0"/>
          </c:trendline>
          <c:xVal>
            <c:numRef>
              <c:f>Table_eFDR!$O$62:$O$110</c:f>
              <c:numCache>
                <c:formatCode>General</c:formatCode>
                <c:ptCount val="49"/>
                <c:pt idx="0">
                  <c:v>0.02</c:v>
                </c:pt>
                <c:pt idx="1">
                  <c:v>0.04</c:v>
                </c:pt>
                <c:pt idx="2">
                  <c:v>0.06</c:v>
                </c:pt>
                <c:pt idx="3">
                  <c:v>0.08</c:v>
                </c:pt>
                <c:pt idx="4">
                  <c:v>0.1</c:v>
                </c:pt>
                <c:pt idx="5">
                  <c:v>0.12000000000000001</c:v>
                </c:pt>
                <c:pt idx="6">
                  <c:v>0.14000000000000001</c:v>
                </c:pt>
                <c:pt idx="7">
                  <c:v>0.16</c:v>
                </c:pt>
                <c:pt idx="8">
                  <c:v>0.18</c:v>
                </c:pt>
                <c:pt idx="9">
                  <c:v>0.19999999999999998</c:v>
                </c:pt>
                <c:pt idx="10">
                  <c:v>0.21999999999999997</c:v>
                </c:pt>
                <c:pt idx="11">
                  <c:v>0.23999999999999996</c:v>
                </c:pt>
                <c:pt idx="12">
                  <c:v>0.25999999999999995</c:v>
                </c:pt>
                <c:pt idx="13">
                  <c:v>0.27999999999999997</c:v>
                </c:pt>
                <c:pt idx="14">
                  <c:v>0.3</c:v>
                </c:pt>
                <c:pt idx="15">
                  <c:v>0.32</c:v>
                </c:pt>
                <c:pt idx="16">
                  <c:v>0.34</c:v>
                </c:pt>
                <c:pt idx="17">
                  <c:v>0.36000000000000004</c:v>
                </c:pt>
                <c:pt idx="18">
                  <c:v>0.38000000000000006</c:v>
                </c:pt>
                <c:pt idx="19">
                  <c:v>0.40000000000000008</c:v>
                </c:pt>
                <c:pt idx="20">
                  <c:v>0.4200000000000001</c:v>
                </c:pt>
                <c:pt idx="21">
                  <c:v>0.44000000000000011</c:v>
                </c:pt>
                <c:pt idx="22">
                  <c:v>0.46000000000000013</c:v>
                </c:pt>
                <c:pt idx="23">
                  <c:v>0.48000000000000015</c:v>
                </c:pt>
                <c:pt idx="24">
                  <c:v>0.50000000000000011</c:v>
                </c:pt>
                <c:pt idx="25">
                  <c:v>0.52000000000000013</c:v>
                </c:pt>
                <c:pt idx="26">
                  <c:v>0.54000000000000015</c:v>
                </c:pt>
                <c:pt idx="27">
                  <c:v>0.56000000000000016</c:v>
                </c:pt>
                <c:pt idx="28">
                  <c:v>0.58000000000000018</c:v>
                </c:pt>
                <c:pt idx="29">
                  <c:v>0.6000000000000002</c:v>
                </c:pt>
                <c:pt idx="30">
                  <c:v>0.62000000000000022</c:v>
                </c:pt>
                <c:pt idx="31">
                  <c:v>0.64000000000000024</c:v>
                </c:pt>
                <c:pt idx="32">
                  <c:v>0.66000000000000025</c:v>
                </c:pt>
                <c:pt idx="33">
                  <c:v>0.68000000000000027</c:v>
                </c:pt>
                <c:pt idx="34">
                  <c:v>0.70000000000000029</c:v>
                </c:pt>
                <c:pt idx="35">
                  <c:v>0.72000000000000031</c:v>
                </c:pt>
                <c:pt idx="36">
                  <c:v>0.74000000000000032</c:v>
                </c:pt>
                <c:pt idx="37">
                  <c:v>0.76000000000000034</c:v>
                </c:pt>
                <c:pt idx="38">
                  <c:v>0.78000000000000036</c:v>
                </c:pt>
                <c:pt idx="39">
                  <c:v>0.80000000000000038</c:v>
                </c:pt>
                <c:pt idx="40">
                  <c:v>0.8200000000000004</c:v>
                </c:pt>
                <c:pt idx="41">
                  <c:v>0.84000000000000041</c:v>
                </c:pt>
                <c:pt idx="42">
                  <c:v>0.86000000000000043</c:v>
                </c:pt>
                <c:pt idx="43">
                  <c:v>0.88000000000000045</c:v>
                </c:pt>
                <c:pt idx="44">
                  <c:v>0.90000000000000047</c:v>
                </c:pt>
                <c:pt idx="45">
                  <c:v>0.92000000000000048</c:v>
                </c:pt>
                <c:pt idx="46">
                  <c:v>0.9400000000000005</c:v>
                </c:pt>
                <c:pt idx="47">
                  <c:v>0.96000000000000052</c:v>
                </c:pt>
                <c:pt idx="48">
                  <c:v>0.98000000000000054</c:v>
                </c:pt>
              </c:numCache>
            </c:numRef>
          </c:xVal>
          <c:yVal>
            <c:numRef>
              <c:f>Table_eFDR!$P$62:$P$110</c:f>
              <c:numCache>
                <c:formatCode>General</c:formatCode>
                <c:ptCount val="49"/>
                <c:pt idx="0">
                  <c:v>0.90722517199890462</c:v>
                </c:pt>
                <c:pt idx="1">
                  <c:v>0.76845034399780932</c:v>
                </c:pt>
                <c:pt idx="2">
                  <c:v>0.68727227357314036</c:v>
                </c:pt>
                <c:pt idx="3">
                  <c:v>0.62967551599671401</c:v>
                </c:pt>
                <c:pt idx="4">
                  <c:v>0.58499999999999996</c:v>
                </c:pt>
                <c:pt idx="5">
                  <c:v>0.54849744557204494</c:v>
                </c:pt>
                <c:pt idx="6">
                  <c:v>0.51763497555233229</c:v>
                </c:pt>
                <c:pt idx="7">
                  <c:v>0.4909006879956187</c:v>
                </c:pt>
                <c:pt idx="8">
                  <c:v>0.46731937514737593</c:v>
                </c:pt>
                <c:pt idx="9">
                  <c:v>0.44622517199890471</c:v>
                </c:pt>
                <c:pt idx="10">
                  <c:v>0.42714314414096299</c:v>
                </c:pt>
                <c:pt idx="11">
                  <c:v>0.40972261757094969</c:v>
                </c:pt>
                <c:pt idx="12">
                  <c:v>0.393697286585453</c:v>
                </c:pt>
                <c:pt idx="13">
                  <c:v>0.37886014755123698</c:v>
                </c:pt>
                <c:pt idx="14">
                  <c:v>0.36504710157423564</c:v>
                </c:pt>
                <c:pt idx="15">
                  <c:v>0.35212585999452334</c:v>
                </c:pt>
                <c:pt idx="16">
                  <c:v>0.33998821924352041</c:v>
                </c:pt>
                <c:pt idx="17">
                  <c:v>0.32854454714628056</c:v>
                </c:pt>
                <c:pt idx="18">
                  <c:v>0.31771976195965046</c:v>
                </c:pt>
                <c:pt idx="19">
                  <c:v>0.30745034399780935</c:v>
                </c:pt>
                <c:pt idx="20">
                  <c:v>0.29768207712656786</c:v>
                </c:pt>
                <c:pt idx="21">
                  <c:v>0.28836831613986758</c:v>
                </c:pt>
                <c:pt idx="22">
                  <c:v>0.27946863959479429</c:v>
                </c:pt>
                <c:pt idx="23">
                  <c:v>0.27094778956985421</c:v>
                </c:pt>
                <c:pt idx="24">
                  <c:v>0.26277482800109531</c:v>
                </c:pt>
                <c:pt idx="25">
                  <c:v>0.25492245858435753</c:v>
                </c:pt>
                <c:pt idx="26">
                  <c:v>0.24736647672161147</c:v>
                </c:pt>
                <c:pt idx="27">
                  <c:v>0.24008531955014156</c:v>
                </c:pt>
                <c:pt idx="28">
                  <c:v>0.23305969496748585</c:v>
                </c:pt>
                <c:pt idx="29">
                  <c:v>0.22627227357314023</c:v>
                </c:pt>
                <c:pt idx="30">
                  <c:v>0.21970743114130489</c:v>
                </c:pt>
                <c:pt idx="31">
                  <c:v>0.21335103199342795</c:v>
                </c:pt>
                <c:pt idx="32">
                  <c:v>0.20719024571519848</c:v>
                </c:pt>
                <c:pt idx="33">
                  <c:v>0.20121339124242499</c:v>
                </c:pt>
                <c:pt idx="34">
                  <c:v>0.19540980355342752</c:v>
                </c:pt>
                <c:pt idx="35">
                  <c:v>0.18976971914518515</c:v>
                </c:pt>
                <c:pt idx="36">
                  <c:v>0.18428417720401991</c:v>
                </c:pt>
                <c:pt idx="37">
                  <c:v>0.1789449339585551</c:v>
                </c:pt>
                <c:pt idx="38">
                  <c:v>0.17374438815968846</c:v>
                </c:pt>
                <c:pt idx="39">
                  <c:v>0.16867551599671393</c:v>
                </c:pt>
                <c:pt idx="40">
                  <c:v>0.16373181405110651</c:v>
                </c:pt>
                <c:pt idx="41">
                  <c:v>0.15890724912547247</c:v>
                </c:pt>
                <c:pt idx="42">
                  <c:v>0.15419621397671518</c:v>
                </c:pt>
                <c:pt idx="43">
                  <c:v>0.14959348813877216</c:v>
                </c:pt>
                <c:pt idx="44">
                  <c:v>0.14509420314847113</c:v>
                </c:pt>
                <c:pt idx="45">
                  <c:v>0.14069381159369893</c:v>
                </c:pt>
                <c:pt idx="46">
                  <c:v>0.13638805949053881</c:v>
                </c:pt>
                <c:pt idx="47">
                  <c:v>0.13217296156875885</c:v>
                </c:pt>
                <c:pt idx="48">
                  <c:v>0.12804477910575976</c:v>
                </c:pt>
              </c:numCache>
            </c:numRef>
          </c:yVal>
          <c:smooth val="0"/>
          <c:extLst>
            <c:ext xmlns:c16="http://schemas.microsoft.com/office/drawing/2014/chart" uri="{C3380CC4-5D6E-409C-BE32-E72D297353CC}">
              <c16:uniqueId val="{00000001-69C2-4107-B39D-A0907D1F37BA}"/>
            </c:ext>
          </c:extLst>
        </c:ser>
        <c:dLbls>
          <c:showLegendKey val="0"/>
          <c:showVal val="0"/>
          <c:showCatName val="0"/>
          <c:showSerName val="0"/>
          <c:showPercent val="0"/>
          <c:showBubbleSize val="0"/>
        </c:dLbls>
        <c:axId val="164883952"/>
        <c:axId val="164884432"/>
      </c:scatterChart>
      <c:valAx>
        <c:axId val="164883952"/>
        <c:scaling>
          <c:orientation val="minMax"/>
          <c:max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FNR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84432"/>
        <c:crosses val="autoZero"/>
        <c:crossBetween val="midCat"/>
        <c:majorUnit val="0.1"/>
      </c:valAx>
      <c:valAx>
        <c:axId val="164884432"/>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FDR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839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FDR by FNR - find smooth function</a:t>
            </a:r>
            <a:r>
              <a:rPr lang="en-US" baseline="0"/>
              <a:t> to determine the combination of effect and cluster size (maybe from n = 5 from above)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dPt>
            <c:idx val="9"/>
            <c:marker>
              <c:symbol val="circle"/>
              <c:size val="10"/>
              <c:spPr>
                <a:solidFill>
                  <a:srgbClr val="C00000"/>
                </a:solidFill>
                <a:ln w="9525">
                  <a:noFill/>
                </a:ln>
                <a:effectLst/>
              </c:spPr>
            </c:marker>
            <c:bubble3D val="0"/>
            <c:extLst>
              <c:ext xmlns:c16="http://schemas.microsoft.com/office/drawing/2014/chart" uri="{C3380CC4-5D6E-409C-BE32-E72D297353CC}">
                <c16:uniqueId val="{00000004-2BD6-483B-9329-E5E4A02C8D82}"/>
              </c:ext>
            </c:extLst>
          </c:dPt>
          <c:xVal>
            <c:numRef>
              <c:f>Table_eFDR!$P$62:$P$110</c:f>
              <c:numCache>
                <c:formatCode>General</c:formatCode>
                <c:ptCount val="49"/>
                <c:pt idx="0">
                  <c:v>0.90722517199890462</c:v>
                </c:pt>
                <c:pt idx="1">
                  <c:v>0.76845034399780932</c:v>
                </c:pt>
                <c:pt idx="2">
                  <c:v>0.68727227357314036</c:v>
                </c:pt>
                <c:pt idx="3">
                  <c:v>0.62967551599671401</c:v>
                </c:pt>
                <c:pt idx="4">
                  <c:v>0.58499999999999996</c:v>
                </c:pt>
                <c:pt idx="5">
                  <c:v>0.54849744557204494</c:v>
                </c:pt>
                <c:pt idx="6">
                  <c:v>0.51763497555233229</c:v>
                </c:pt>
                <c:pt idx="7">
                  <c:v>0.4909006879956187</c:v>
                </c:pt>
                <c:pt idx="8">
                  <c:v>0.46731937514737593</c:v>
                </c:pt>
                <c:pt idx="9">
                  <c:v>0.44622517199890471</c:v>
                </c:pt>
                <c:pt idx="10">
                  <c:v>0.42714314414096299</c:v>
                </c:pt>
                <c:pt idx="11">
                  <c:v>0.40972261757094969</c:v>
                </c:pt>
                <c:pt idx="12">
                  <c:v>0.393697286585453</c:v>
                </c:pt>
                <c:pt idx="13">
                  <c:v>0.37886014755123698</c:v>
                </c:pt>
                <c:pt idx="14">
                  <c:v>0.36504710157423564</c:v>
                </c:pt>
                <c:pt idx="15">
                  <c:v>0.35212585999452334</c:v>
                </c:pt>
                <c:pt idx="16">
                  <c:v>0.33998821924352041</c:v>
                </c:pt>
                <c:pt idx="17">
                  <c:v>0.32854454714628056</c:v>
                </c:pt>
                <c:pt idx="18">
                  <c:v>0.31771976195965046</c:v>
                </c:pt>
                <c:pt idx="19">
                  <c:v>0.30745034399780935</c:v>
                </c:pt>
                <c:pt idx="20">
                  <c:v>0.29768207712656786</c:v>
                </c:pt>
                <c:pt idx="21">
                  <c:v>0.28836831613986758</c:v>
                </c:pt>
                <c:pt idx="22">
                  <c:v>0.27946863959479429</c:v>
                </c:pt>
                <c:pt idx="23">
                  <c:v>0.27094778956985421</c:v>
                </c:pt>
                <c:pt idx="24">
                  <c:v>0.26277482800109531</c:v>
                </c:pt>
                <c:pt idx="25">
                  <c:v>0.25492245858435753</c:v>
                </c:pt>
                <c:pt idx="26">
                  <c:v>0.24736647672161147</c:v>
                </c:pt>
                <c:pt idx="27">
                  <c:v>0.24008531955014156</c:v>
                </c:pt>
                <c:pt idx="28">
                  <c:v>0.23305969496748585</c:v>
                </c:pt>
                <c:pt idx="29">
                  <c:v>0.22627227357314023</c:v>
                </c:pt>
                <c:pt idx="30">
                  <c:v>0.21970743114130489</c:v>
                </c:pt>
                <c:pt idx="31">
                  <c:v>0.21335103199342795</c:v>
                </c:pt>
                <c:pt idx="32">
                  <c:v>0.20719024571519848</c:v>
                </c:pt>
                <c:pt idx="33">
                  <c:v>0.20121339124242499</c:v>
                </c:pt>
                <c:pt idx="34">
                  <c:v>0.19540980355342752</c:v>
                </c:pt>
                <c:pt idx="35">
                  <c:v>0.18976971914518515</c:v>
                </c:pt>
                <c:pt idx="36">
                  <c:v>0.18428417720401991</c:v>
                </c:pt>
                <c:pt idx="37">
                  <c:v>0.1789449339585551</c:v>
                </c:pt>
                <c:pt idx="38">
                  <c:v>0.17374438815968846</c:v>
                </c:pt>
                <c:pt idx="39">
                  <c:v>0.16867551599671393</c:v>
                </c:pt>
                <c:pt idx="40">
                  <c:v>0.16373181405110651</c:v>
                </c:pt>
                <c:pt idx="41">
                  <c:v>0.15890724912547247</c:v>
                </c:pt>
                <c:pt idx="42">
                  <c:v>0.15419621397671518</c:v>
                </c:pt>
                <c:pt idx="43">
                  <c:v>0.14959348813877216</c:v>
                </c:pt>
                <c:pt idx="44">
                  <c:v>0.14509420314847113</c:v>
                </c:pt>
                <c:pt idx="45">
                  <c:v>0.14069381159369893</c:v>
                </c:pt>
                <c:pt idx="46">
                  <c:v>0.13638805949053881</c:v>
                </c:pt>
                <c:pt idx="47">
                  <c:v>0.13217296156875885</c:v>
                </c:pt>
                <c:pt idx="48">
                  <c:v>0.12804477910575976</c:v>
                </c:pt>
              </c:numCache>
            </c:numRef>
          </c:xVal>
          <c:yVal>
            <c:numRef>
              <c:f>Table_eFDR!$Q$62:$Q$110</c:f>
              <c:numCache>
                <c:formatCode>General</c:formatCode>
                <c:ptCount val="49"/>
                <c:pt idx="0">
                  <c:v>0.98</c:v>
                </c:pt>
                <c:pt idx="1">
                  <c:v>0.96</c:v>
                </c:pt>
                <c:pt idx="2">
                  <c:v>0.94</c:v>
                </c:pt>
                <c:pt idx="3">
                  <c:v>0.92</c:v>
                </c:pt>
                <c:pt idx="4">
                  <c:v>0.9</c:v>
                </c:pt>
                <c:pt idx="5">
                  <c:v>0.88</c:v>
                </c:pt>
                <c:pt idx="6">
                  <c:v>0.86</c:v>
                </c:pt>
                <c:pt idx="7">
                  <c:v>0.84</c:v>
                </c:pt>
                <c:pt idx="8">
                  <c:v>0.82000000000000006</c:v>
                </c:pt>
                <c:pt idx="9">
                  <c:v>0.8</c:v>
                </c:pt>
                <c:pt idx="10">
                  <c:v>0.78</c:v>
                </c:pt>
                <c:pt idx="11">
                  <c:v>0.76</c:v>
                </c:pt>
                <c:pt idx="12">
                  <c:v>0.74</c:v>
                </c:pt>
                <c:pt idx="13">
                  <c:v>0.72</c:v>
                </c:pt>
                <c:pt idx="14">
                  <c:v>0.7</c:v>
                </c:pt>
                <c:pt idx="15">
                  <c:v>0.67999999999999994</c:v>
                </c:pt>
                <c:pt idx="16">
                  <c:v>0.65999999999999992</c:v>
                </c:pt>
                <c:pt idx="17">
                  <c:v>0.6399999999999999</c:v>
                </c:pt>
                <c:pt idx="18">
                  <c:v>0.61999999999999988</c:v>
                </c:pt>
                <c:pt idx="19">
                  <c:v>0.59999999999999987</c:v>
                </c:pt>
                <c:pt idx="20">
                  <c:v>0.57999999999999985</c:v>
                </c:pt>
                <c:pt idx="21">
                  <c:v>0.55999999999999983</c:v>
                </c:pt>
                <c:pt idx="22">
                  <c:v>0.53999999999999981</c:v>
                </c:pt>
                <c:pt idx="23">
                  <c:v>0.5199999999999998</c:v>
                </c:pt>
                <c:pt idx="24">
                  <c:v>0.49999999999999989</c:v>
                </c:pt>
                <c:pt idx="25">
                  <c:v>0.47999999999999987</c:v>
                </c:pt>
                <c:pt idx="26">
                  <c:v>0.45999999999999985</c:v>
                </c:pt>
                <c:pt idx="27">
                  <c:v>0.43999999999999984</c:v>
                </c:pt>
                <c:pt idx="28">
                  <c:v>0.41999999999999982</c:v>
                </c:pt>
                <c:pt idx="29">
                  <c:v>0.3999999999999998</c:v>
                </c:pt>
                <c:pt idx="30">
                  <c:v>0.37999999999999978</c:v>
                </c:pt>
                <c:pt idx="31">
                  <c:v>0.35999999999999976</c:v>
                </c:pt>
                <c:pt idx="32">
                  <c:v>0.33999999999999975</c:v>
                </c:pt>
                <c:pt idx="33">
                  <c:v>0.31999999999999973</c:v>
                </c:pt>
                <c:pt idx="34">
                  <c:v>0.29999999999999971</c:v>
                </c:pt>
                <c:pt idx="35">
                  <c:v>0.27999999999999969</c:v>
                </c:pt>
                <c:pt idx="36">
                  <c:v>0.25999999999999968</c:v>
                </c:pt>
                <c:pt idx="37">
                  <c:v>0.23999999999999966</c:v>
                </c:pt>
                <c:pt idx="38">
                  <c:v>0.21999999999999964</c:v>
                </c:pt>
                <c:pt idx="39">
                  <c:v>0.19999999999999962</c:v>
                </c:pt>
                <c:pt idx="40">
                  <c:v>0.1799999999999996</c:v>
                </c:pt>
                <c:pt idx="41">
                  <c:v>0.15999999999999959</c:v>
                </c:pt>
                <c:pt idx="42">
                  <c:v>0.13999999999999957</c:v>
                </c:pt>
                <c:pt idx="43">
                  <c:v>0.11999999999999955</c:v>
                </c:pt>
                <c:pt idx="44">
                  <c:v>9.9999999999999534E-2</c:v>
                </c:pt>
                <c:pt idx="45">
                  <c:v>7.9999999999999516E-2</c:v>
                </c:pt>
                <c:pt idx="46">
                  <c:v>5.9999999999999498E-2</c:v>
                </c:pt>
                <c:pt idx="47">
                  <c:v>3.999999999999948E-2</c:v>
                </c:pt>
                <c:pt idx="48">
                  <c:v>1.9999999999999463E-2</c:v>
                </c:pt>
              </c:numCache>
            </c:numRef>
          </c:yVal>
          <c:smooth val="0"/>
          <c:extLst>
            <c:ext xmlns:c16="http://schemas.microsoft.com/office/drawing/2014/chart" uri="{C3380CC4-5D6E-409C-BE32-E72D297353CC}">
              <c16:uniqueId val="{00000001-2BD6-483B-9329-E5E4A02C8D82}"/>
            </c:ext>
          </c:extLst>
        </c:ser>
        <c:dLbls>
          <c:showLegendKey val="0"/>
          <c:showVal val="0"/>
          <c:showCatName val="0"/>
          <c:showSerName val="0"/>
          <c:showPercent val="0"/>
          <c:showBubbleSize val="0"/>
        </c:dLbls>
        <c:axId val="164883952"/>
        <c:axId val="164884432"/>
      </c:scatterChart>
      <c:valAx>
        <c:axId val="164883952"/>
        <c:scaling>
          <c:orientation val="minMax"/>
          <c:max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FDR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84432"/>
        <c:crosses val="autoZero"/>
        <c:crossBetween val="midCat"/>
        <c:majorUnit val="0.1"/>
      </c:valAx>
      <c:valAx>
        <c:axId val="164884432"/>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Sensitivity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839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Smoothness!$T$8</c:f>
              <c:strCache>
                <c:ptCount val="1"/>
                <c:pt idx="0">
                  <c:v>Tcrit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Smoothness!$S$10:$S$39</c:f>
              <c:numCache>
                <c:formatCode>General</c:formatCode>
                <c:ptCount val="30"/>
                <c:pt idx="0">
                  <c:v>2</c:v>
                </c:pt>
                <c:pt idx="1">
                  <c:v>3</c:v>
                </c:pt>
                <c:pt idx="2">
                  <c:v>4</c:v>
                </c:pt>
                <c:pt idx="3">
                  <c:v>5</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numCache>
            </c:numRef>
          </c:xVal>
          <c:yVal>
            <c:numRef>
              <c:f>Smoothness!$T$10:$T$39</c:f>
              <c:numCache>
                <c:formatCode>General</c:formatCode>
                <c:ptCount val="30"/>
                <c:pt idx="0">
                  <c:v>6.3137515146750376</c:v>
                </c:pt>
                <c:pt idx="1">
                  <c:v>2.9199855803537247</c:v>
                </c:pt>
                <c:pt idx="2">
                  <c:v>2.3533634348018233</c:v>
                </c:pt>
                <c:pt idx="3">
                  <c:v>2.131846786326649</c:v>
                </c:pt>
                <c:pt idx="4">
                  <c:v>2.0150483733330233</c:v>
                </c:pt>
                <c:pt idx="5">
                  <c:v>1.9431802805153022</c:v>
                </c:pt>
                <c:pt idx="6">
                  <c:v>1.8945786050900069</c:v>
                </c:pt>
                <c:pt idx="7">
                  <c:v>1.8595480375308975</c:v>
                </c:pt>
                <c:pt idx="8">
                  <c:v>1.8331129326562368</c:v>
                </c:pt>
                <c:pt idx="9">
                  <c:v>1.8124611228116754</c:v>
                </c:pt>
                <c:pt idx="10">
                  <c:v>1.795884818704043</c:v>
                </c:pt>
                <c:pt idx="11">
                  <c:v>1.7822875556493194</c:v>
                </c:pt>
                <c:pt idx="12">
                  <c:v>1.7709333959868729</c:v>
                </c:pt>
                <c:pt idx="13">
                  <c:v>1.7613101357748921</c:v>
                </c:pt>
                <c:pt idx="14">
                  <c:v>1.7530503556925723</c:v>
                </c:pt>
                <c:pt idx="15">
                  <c:v>1.7458836762762506</c:v>
                </c:pt>
                <c:pt idx="16">
                  <c:v>1.7396067260750721</c:v>
                </c:pt>
                <c:pt idx="17">
                  <c:v>1.7340636066175383</c:v>
                </c:pt>
                <c:pt idx="18">
                  <c:v>1.7291328115213698</c:v>
                </c:pt>
                <c:pt idx="19">
                  <c:v>1.7247182429207868</c:v>
                </c:pt>
                <c:pt idx="20">
                  <c:v>1.7207429028118781</c:v>
                </c:pt>
                <c:pt idx="21">
                  <c:v>1.7171443743802424</c:v>
                </c:pt>
                <c:pt idx="22">
                  <c:v>1.7138715277470482</c:v>
                </c:pt>
                <c:pt idx="23">
                  <c:v>1.7108820799094284</c:v>
                </c:pt>
                <c:pt idx="24">
                  <c:v>1.7081407612518986</c:v>
                </c:pt>
                <c:pt idx="25">
                  <c:v>1.7056179197592722</c:v>
                </c:pt>
                <c:pt idx="26">
                  <c:v>1.7032884457221271</c:v>
                </c:pt>
                <c:pt idx="27">
                  <c:v>1.7011309342659309</c:v>
                </c:pt>
                <c:pt idx="28">
                  <c:v>1.6991270265334968</c:v>
                </c:pt>
                <c:pt idx="29">
                  <c:v>1.6972608865939567</c:v>
                </c:pt>
              </c:numCache>
            </c:numRef>
          </c:yVal>
          <c:smooth val="0"/>
          <c:extLst>
            <c:ext xmlns:c16="http://schemas.microsoft.com/office/drawing/2014/chart" uri="{C3380CC4-5D6E-409C-BE32-E72D297353CC}">
              <c16:uniqueId val="{00000000-D802-4BB6-96B0-F0A78906D753}"/>
            </c:ext>
          </c:extLst>
        </c:ser>
        <c:ser>
          <c:idx val="1"/>
          <c:order val="1"/>
          <c:tx>
            <c:strRef>
              <c:f>Smoothness!$U$8</c:f>
              <c:strCache>
                <c:ptCount val="1"/>
                <c:pt idx="0">
                  <c:v>D</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Smoothness!$S$10:$S$39</c:f>
              <c:numCache>
                <c:formatCode>General</c:formatCode>
                <c:ptCount val="30"/>
                <c:pt idx="0">
                  <c:v>2</c:v>
                </c:pt>
                <c:pt idx="1">
                  <c:v>3</c:v>
                </c:pt>
                <c:pt idx="2">
                  <c:v>4</c:v>
                </c:pt>
                <c:pt idx="3">
                  <c:v>5</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numCache>
            </c:numRef>
          </c:xVal>
          <c:yVal>
            <c:numRef>
              <c:f>Smoothness!$U$10:$U$39</c:f>
              <c:numCache>
                <c:formatCode>General</c:formatCode>
                <c:ptCount val="30"/>
                <c:pt idx="0">
                  <c:v>4.4644965107535546</c:v>
                </c:pt>
                <c:pt idx="1">
                  <c:v>1.6858544608470487</c:v>
                </c:pt>
                <c:pt idx="2">
                  <c:v>1.1766817174009117</c:v>
                </c:pt>
                <c:pt idx="3">
                  <c:v>0.95339086636817127</c:v>
                </c:pt>
                <c:pt idx="4">
                  <c:v>0.82264005361519488</c:v>
                </c:pt>
                <c:pt idx="5">
                  <c:v>0.73445311068688846</c:v>
                </c:pt>
                <c:pt idx="6">
                  <c:v>0.66983468957504688</c:v>
                </c:pt>
                <c:pt idx="7">
                  <c:v>0.61984934584363249</c:v>
                </c:pt>
                <c:pt idx="8">
                  <c:v>0.57968120755045605</c:v>
                </c:pt>
                <c:pt idx="9">
                  <c:v>0.54647759013387143</c:v>
                </c:pt>
                <c:pt idx="10">
                  <c:v>0.51842729175617075</c:v>
                </c:pt>
                <c:pt idx="11">
                  <c:v>0.49431762842423077</c:v>
                </c:pt>
                <c:pt idx="12">
                  <c:v>0.4733018587556389</c:v>
                </c:pt>
                <c:pt idx="13">
                  <c:v>0.45476832155749874</c:v>
                </c:pt>
                <c:pt idx="14">
                  <c:v>0.43826258892314307</c:v>
                </c:pt>
                <c:pt idx="15">
                  <c:v>0.42343898866639124</c:v>
                </c:pt>
                <c:pt idx="16">
                  <c:v>0.41002923753513748</c:v>
                </c:pt>
                <c:pt idx="17">
                  <c:v>0.39782147489039565</c:v>
                </c:pt>
                <c:pt idx="18">
                  <c:v>0.38664585086871139</c:v>
                </c:pt>
                <c:pt idx="19">
                  <c:v>0.37636437622170194</c:v>
                </c:pt>
                <c:pt idx="20">
                  <c:v>0.36686361954332497</c:v>
                </c:pt>
                <c:pt idx="21">
                  <c:v>0.3580493530752985</c:v>
                </c:pt>
                <c:pt idx="22">
                  <c:v>0.34984256063871083</c:v>
                </c:pt>
                <c:pt idx="23">
                  <c:v>0.3421764159818857</c:v>
                </c:pt>
                <c:pt idx="24">
                  <c:v>0.33499396436871792</c:v>
                </c:pt>
                <c:pt idx="25">
                  <c:v>0.32824632170255513</c:v>
                </c:pt>
                <c:pt idx="26">
                  <c:v>0.32189125988503475</c:v>
                </c:pt>
                <c:pt idx="27">
                  <c:v>0.31589208412195624</c:v>
                </c:pt>
                <c:pt idx="28">
                  <c:v>0.3102167334996917</c:v>
                </c:pt>
                <c:pt idx="29">
                  <c:v>0.30483705415493934</c:v>
                </c:pt>
              </c:numCache>
            </c:numRef>
          </c:yVal>
          <c:smooth val="0"/>
          <c:extLst>
            <c:ext xmlns:c16="http://schemas.microsoft.com/office/drawing/2014/chart" uri="{C3380CC4-5D6E-409C-BE32-E72D297353CC}">
              <c16:uniqueId val="{00000001-D802-4BB6-96B0-F0A78906D753}"/>
            </c:ext>
          </c:extLst>
        </c:ser>
        <c:dLbls>
          <c:showLegendKey val="0"/>
          <c:showVal val="0"/>
          <c:showCatName val="0"/>
          <c:showSerName val="0"/>
          <c:showPercent val="0"/>
          <c:showBubbleSize val="0"/>
        </c:dLbls>
        <c:axId val="1050868688"/>
        <c:axId val="1050865328"/>
      </c:scatterChart>
      <c:valAx>
        <c:axId val="105086868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cross"/>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865328"/>
        <c:crosses val="autoZero"/>
        <c:crossBetween val="midCat"/>
      </c:valAx>
      <c:valAx>
        <c:axId val="1050865328"/>
        <c:scaling>
          <c:orientation val="minMax"/>
          <c:max val="1"/>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cross"/>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8686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Smoothness!$U$8</c:f>
              <c:strCache>
                <c:ptCount val="1"/>
                <c:pt idx="0">
                  <c:v>D</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Smoothness!$V$10:$V$39</c:f>
              <c:numCache>
                <c:formatCode>General</c:formatCode>
                <c:ptCount val="30"/>
              </c:numCache>
            </c:numRef>
          </c:xVal>
          <c:yVal>
            <c:numRef>
              <c:f>Smoothness!$U$10:$U$39</c:f>
              <c:numCache>
                <c:formatCode>General</c:formatCode>
                <c:ptCount val="30"/>
                <c:pt idx="0">
                  <c:v>4.4644965107535546</c:v>
                </c:pt>
                <c:pt idx="1">
                  <c:v>1.6858544608470487</c:v>
                </c:pt>
                <c:pt idx="2">
                  <c:v>1.1766817174009117</c:v>
                </c:pt>
                <c:pt idx="3">
                  <c:v>0.95339086636817127</c:v>
                </c:pt>
                <c:pt idx="4">
                  <c:v>0.82264005361519488</c:v>
                </c:pt>
                <c:pt idx="5">
                  <c:v>0.73445311068688846</c:v>
                </c:pt>
                <c:pt idx="6">
                  <c:v>0.66983468957504688</c:v>
                </c:pt>
                <c:pt idx="7">
                  <c:v>0.61984934584363249</c:v>
                </c:pt>
                <c:pt idx="8">
                  <c:v>0.57968120755045605</c:v>
                </c:pt>
                <c:pt idx="9">
                  <c:v>0.54647759013387143</c:v>
                </c:pt>
                <c:pt idx="10">
                  <c:v>0.51842729175617075</c:v>
                </c:pt>
                <c:pt idx="11">
                  <c:v>0.49431762842423077</c:v>
                </c:pt>
                <c:pt idx="12">
                  <c:v>0.4733018587556389</c:v>
                </c:pt>
                <c:pt idx="13">
                  <c:v>0.45476832155749874</c:v>
                </c:pt>
                <c:pt idx="14">
                  <c:v>0.43826258892314307</c:v>
                </c:pt>
                <c:pt idx="15">
                  <c:v>0.42343898866639124</c:v>
                </c:pt>
                <c:pt idx="16">
                  <c:v>0.41002923753513748</c:v>
                </c:pt>
                <c:pt idx="17">
                  <c:v>0.39782147489039565</c:v>
                </c:pt>
                <c:pt idx="18">
                  <c:v>0.38664585086871139</c:v>
                </c:pt>
                <c:pt idx="19">
                  <c:v>0.37636437622170194</c:v>
                </c:pt>
                <c:pt idx="20">
                  <c:v>0.36686361954332497</c:v>
                </c:pt>
                <c:pt idx="21">
                  <c:v>0.3580493530752985</c:v>
                </c:pt>
                <c:pt idx="22">
                  <c:v>0.34984256063871083</c:v>
                </c:pt>
                <c:pt idx="23">
                  <c:v>0.3421764159818857</c:v>
                </c:pt>
                <c:pt idx="24">
                  <c:v>0.33499396436871792</c:v>
                </c:pt>
                <c:pt idx="25">
                  <c:v>0.32824632170255513</c:v>
                </c:pt>
                <c:pt idx="26">
                  <c:v>0.32189125988503475</c:v>
                </c:pt>
                <c:pt idx="27">
                  <c:v>0.31589208412195624</c:v>
                </c:pt>
                <c:pt idx="28">
                  <c:v>0.3102167334996917</c:v>
                </c:pt>
                <c:pt idx="29">
                  <c:v>0.30483705415493934</c:v>
                </c:pt>
              </c:numCache>
            </c:numRef>
          </c:yVal>
          <c:smooth val="0"/>
          <c:extLst>
            <c:ext xmlns:c16="http://schemas.microsoft.com/office/drawing/2014/chart" uri="{C3380CC4-5D6E-409C-BE32-E72D297353CC}">
              <c16:uniqueId val="{00000001-F440-4DE7-90AB-5B16A694FD03}"/>
            </c:ext>
          </c:extLst>
        </c:ser>
        <c:dLbls>
          <c:showLegendKey val="0"/>
          <c:showVal val="0"/>
          <c:showCatName val="0"/>
          <c:showSerName val="0"/>
          <c:showPercent val="0"/>
          <c:showBubbleSize val="0"/>
        </c:dLbls>
        <c:axId val="1050868688"/>
        <c:axId val="1050865328"/>
      </c:scatterChart>
      <c:valAx>
        <c:axId val="105086868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cross"/>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865328"/>
        <c:crosses val="autoZero"/>
        <c:crossBetween val="midCat"/>
      </c:valAx>
      <c:valAx>
        <c:axId val="1050865328"/>
        <c:scaling>
          <c:orientation val="minMax"/>
          <c:max val="1"/>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cross"/>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8686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s000_d055</c:v>
          </c:tx>
          <c:spPr>
            <a:ln w="19050" cap="rnd">
              <a:solidFill>
                <a:schemeClr val="tx2">
                  <a:lumMod val="90000"/>
                  <a:lumOff val="10000"/>
                </a:schemeClr>
              </a:solidFill>
              <a:round/>
            </a:ln>
            <a:effectLst/>
          </c:spPr>
          <c:marker>
            <c:symbol val="circle"/>
            <c:size val="5"/>
            <c:spPr>
              <a:solidFill>
                <a:schemeClr val="accent1"/>
              </a:solidFill>
              <a:ln w="9525">
                <a:solidFill>
                  <a:schemeClr val="accent1"/>
                </a:solidFill>
              </a:ln>
              <a:effectLst/>
            </c:spPr>
          </c:marker>
          <c:xVal>
            <c:numRef>
              <c:f>ConfusionData!$F$2:$F$6</c:f>
              <c:numCache>
                <c:formatCode>General</c:formatCode>
                <c:ptCount val="5"/>
                <c:pt idx="0">
                  <c:v>1</c:v>
                </c:pt>
                <c:pt idx="1">
                  <c:v>8</c:v>
                </c:pt>
                <c:pt idx="2">
                  <c:v>27</c:v>
                </c:pt>
                <c:pt idx="3">
                  <c:v>64</c:v>
                </c:pt>
                <c:pt idx="4">
                  <c:v>125</c:v>
                </c:pt>
              </c:numCache>
            </c:numRef>
          </c:xVal>
          <c:yVal>
            <c:numRef>
              <c:f>ConfusionData!$AD$2:$AD$6</c:f>
              <c:numCache>
                <c:formatCode>0.000</c:formatCode>
                <c:ptCount val="5"/>
                <c:pt idx="0">
                  <c:v>0.80857961082076057</c:v>
                </c:pt>
                <c:pt idx="1">
                  <c:v>0.83062786013505863</c:v>
                </c:pt>
                <c:pt idx="2">
                  <c:v>0.81986835617789167</c:v>
                </c:pt>
                <c:pt idx="3">
                  <c:v>0.77989350162705851</c:v>
                </c:pt>
                <c:pt idx="4">
                  <c:v>0.68512996380662283</c:v>
                </c:pt>
              </c:numCache>
            </c:numRef>
          </c:yVal>
          <c:smooth val="0"/>
          <c:extLst>
            <c:ext xmlns:c16="http://schemas.microsoft.com/office/drawing/2014/chart" uri="{C3380CC4-5D6E-409C-BE32-E72D297353CC}">
              <c16:uniqueId val="{00000000-D741-498C-9310-DD72D3110D0E}"/>
            </c:ext>
          </c:extLst>
        </c:ser>
        <c:ser>
          <c:idx val="3"/>
          <c:order val="1"/>
          <c:tx>
            <c:v>s000_d081</c:v>
          </c:tx>
          <c:spPr>
            <a:ln w="19050" cap="rnd">
              <a:solidFill>
                <a:schemeClr val="tx2">
                  <a:lumMod val="50000"/>
                  <a:lumOff val="50000"/>
                </a:schemeClr>
              </a:solidFill>
              <a:round/>
            </a:ln>
            <a:effectLst/>
          </c:spPr>
          <c:marker>
            <c:symbol val="circle"/>
            <c:size val="5"/>
            <c:spPr>
              <a:solidFill>
                <a:schemeClr val="accent4"/>
              </a:solidFill>
              <a:ln w="9525">
                <a:solidFill>
                  <a:schemeClr val="accent4"/>
                </a:solidFill>
              </a:ln>
              <a:effectLst/>
            </c:spPr>
          </c:marker>
          <c:xVal>
            <c:numRef>
              <c:f>ConfusionData!$F$7:$F$11</c:f>
              <c:numCache>
                <c:formatCode>General</c:formatCode>
                <c:ptCount val="5"/>
                <c:pt idx="0">
                  <c:v>1</c:v>
                </c:pt>
                <c:pt idx="1">
                  <c:v>8</c:v>
                </c:pt>
                <c:pt idx="2">
                  <c:v>27</c:v>
                </c:pt>
                <c:pt idx="3">
                  <c:v>64</c:v>
                </c:pt>
                <c:pt idx="4">
                  <c:v>125</c:v>
                </c:pt>
              </c:numCache>
            </c:numRef>
          </c:xVal>
          <c:yVal>
            <c:numRef>
              <c:f>ConfusionData!$AD$7:$AD$11</c:f>
              <c:numCache>
                <c:formatCode>0.000</c:formatCode>
                <c:ptCount val="5"/>
                <c:pt idx="0">
                  <c:v>0.66098305558294712</c:v>
                </c:pt>
                <c:pt idx="1">
                  <c:v>0.66591359972535402</c:v>
                </c:pt>
                <c:pt idx="2">
                  <c:v>0.65998841337146241</c:v>
                </c:pt>
                <c:pt idx="3">
                  <c:v>0.63999063208756535</c:v>
                </c:pt>
                <c:pt idx="4">
                  <c:v>0.59258642949230667</c:v>
                </c:pt>
              </c:numCache>
            </c:numRef>
          </c:yVal>
          <c:smooth val="0"/>
          <c:extLst>
            <c:ext xmlns:c16="http://schemas.microsoft.com/office/drawing/2014/chart" uri="{C3380CC4-5D6E-409C-BE32-E72D297353CC}">
              <c16:uniqueId val="{00000003-D741-498C-9310-DD72D3110D0E}"/>
            </c:ext>
          </c:extLst>
        </c:ser>
        <c:ser>
          <c:idx val="5"/>
          <c:order val="2"/>
          <c:tx>
            <c:v>s000_d095</c:v>
          </c:tx>
          <c:spPr>
            <a:ln w="19050" cap="rnd">
              <a:solidFill>
                <a:schemeClr val="tx2">
                  <a:lumMod val="25000"/>
                  <a:lumOff val="75000"/>
                </a:schemeClr>
              </a:solidFill>
              <a:round/>
            </a:ln>
            <a:effectLst/>
          </c:spPr>
          <c:marker>
            <c:symbol val="circle"/>
            <c:size val="5"/>
            <c:spPr>
              <a:solidFill>
                <a:schemeClr val="tx2">
                  <a:lumMod val="25000"/>
                  <a:lumOff val="75000"/>
                </a:schemeClr>
              </a:solidFill>
              <a:ln w="9525">
                <a:solidFill>
                  <a:schemeClr val="tx2">
                    <a:lumMod val="25000"/>
                    <a:lumOff val="75000"/>
                  </a:schemeClr>
                </a:solidFill>
              </a:ln>
              <a:effectLst/>
            </c:spPr>
          </c:marker>
          <c:xVal>
            <c:numRef>
              <c:f>ConfusionData!$F$12:$F$16</c:f>
              <c:numCache>
                <c:formatCode>General</c:formatCode>
                <c:ptCount val="5"/>
                <c:pt idx="0">
                  <c:v>1</c:v>
                </c:pt>
                <c:pt idx="1">
                  <c:v>8</c:v>
                </c:pt>
                <c:pt idx="2">
                  <c:v>27</c:v>
                </c:pt>
                <c:pt idx="3">
                  <c:v>64</c:v>
                </c:pt>
                <c:pt idx="4">
                  <c:v>125</c:v>
                </c:pt>
              </c:numCache>
            </c:numRef>
          </c:xVal>
          <c:yVal>
            <c:numRef>
              <c:f>ConfusionData!$AD$12:$AD$16</c:f>
              <c:numCache>
                <c:formatCode>0.000</c:formatCode>
                <c:ptCount val="5"/>
                <c:pt idx="0">
                  <c:v>0.49751183315254904</c:v>
                </c:pt>
                <c:pt idx="1">
                  <c:v>0.5</c:v>
                </c:pt>
                <c:pt idx="2">
                  <c:v>0.5</c:v>
                </c:pt>
                <c:pt idx="3">
                  <c:v>0.5</c:v>
                </c:pt>
                <c:pt idx="4">
                  <c:v>0.5</c:v>
                </c:pt>
              </c:numCache>
            </c:numRef>
          </c:yVal>
          <c:smooth val="0"/>
          <c:extLst>
            <c:ext xmlns:c16="http://schemas.microsoft.com/office/drawing/2014/chart" uri="{C3380CC4-5D6E-409C-BE32-E72D297353CC}">
              <c16:uniqueId val="{00000005-D741-498C-9310-DD72D3110D0E}"/>
            </c:ext>
          </c:extLst>
        </c:ser>
        <c:ser>
          <c:idx val="1"/>
          <c:order val="3"/>
          <c:tx>
            <c:v>s150_d055</c:v>
          </c:tx>
          <c:spPr>
            <a:ln w="19050" cap="rnd">
              <a:solidFill>
                <a:schemeClr val="accent2">
                  <a:lumMod val="75000"/>
                </a:schemeClr>
              </a:solidFill>
              <a:round/>
            </a:ln>
            <a:effectLst/>
          </c:spPr>
          <c:marker>
            <c:symbol val="circle"/>
            <c:size val="5"/>
            <c:spPr>
              <a:solidFill>
                <a:schemeClr val="accent2"/>
              </a:solidFill>
              <a:ln w="9525">
                <a:solidFill>
                  <a:schemeClr val="accent2"/>
                </a:solidFill>
              </a:ln>
              <a:effectLst/>
            </c:spPr>
          </c:marker>
          <c:xVal>
            <c:numRef>
              <c:f>ConfusionData!$F$17:$F$21</c:f>
              <c:numCache>
                <c:formatCode>General</c:formatCode>
                <c:ptCount val="5"/>
                <c:pt idx="0">
                  <c:v>1</c:v>
                </c:pt>
                <c:pt idx="1">
                  <c:v>8</c:v>
                </c:pt>
                <c:pt idx="2">
                  <c:v>27</c:v>
                </c:pt>
                <c:pt idx="3">
                  <c:v>64</c:v>
                </c:pt>
                <c:pt idx="4">
                  <c:v>125</c:v>
                </c:pt>
              </c:numCache>
            </c:numRef>
          </c:xVal>
          <c:yVal>
            <c:numRef>
              <c:f>ConfusionData!$AD$17:$AD$21</c:f>
              <c:numCache>
                <c:formatCode>0.000</c:formatCode>
                <c:ptCount val="5"/>
                <c:pt idx="0">
                  <c:v>0.88666489534599191</c:v>
                </c:pt>
                <c:pt idx="1">
                  <c:v>0.89360102188767998</c:v>
                </c:pt>
                <c:pt idx="2">
                  <c:v>0.89289626452209037</c:v>
                </c:pt>
                <c:pt idx="3">
                  <c:v>0.86572343840734534</c:v>
                </c:pt>
                <c:pt idx="4">
                  <c:v>0.80531365158670165</c:v>
                </c:pt>
              </c:numCache>
            </c:numRef>
          </c:yVal>
          <c:smooth val="0"/>
          <c:extLst>
            <c:ext xmlns:c16="http://schemas.microsoft.com/office/drawing/2014/chart" uri="{C3380CC4-5D6E-409C-BE32-E72D297353CC}">
              <c16:uniqueId val="{00000001-D741-498C-9310-DD72D3110D0E}"/>
            </c:ext>
          </c:extLst>
        </c:ser>
        <c:ser>
          <c:idx val="4"/>
          <c:order val="4"/>
          <c:tx>
            <c:v>s150_d081</c:v>
          </c:tx>
          <c:spPr>
            <a:ln w="19050"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xVal>
            <c:numRef>
              <c:f>ConfusionData!$F$22:$F$26</c:f>
              <c:numCache>
                <c:formatCode>General</c:formatCode>
                <c:ptCount val="5"/>
                <c:pt idx="0">
                  <c:v>1</c:v>
                </c:pt>
                <c:pt idx="1">
                  <c:v>8</c:v>
                </c:pt>
                <c:pt idx="2">
                  <c:v>27</c:v>
                </c:pt>
                <c:pt idx="3">
                  <c:v>64</c:v>
                </c:pt>
                <c:pt idx="4">
                  <c:v>125</c:v>
                </c:pt>
              </c:numCache>
            </c:numRef>
          </c:xVal>
          <c:yVal>
            <c:numRef>
              <c:f>ConfusionData!$AD$22:$AD$26</c:f>
              <c:numCache>
                <c:formatCode>0.000</c:formatCode>
                <c:ptCount val="5"/>
                <c:pt idx="0">
                  <c:v>0.70629485367430345</c:v>
                </c:pt>
                <c:pt idx="1">
                  <c:v>0.70589770349187564</c:v>
                </c:pt>
                <c:pt idx="2">
                  <c:v>0.6839022468381013</c:v>
                </c:pt>
                <c:pt idx="3">
                  <c:v>0.64117993696289721</c:v>
                </c:pt>
                <c:pt idx="4">
                  <c:v>0.57208624140361641</c:v>
                </c:pt>
              </c:numCache>
            </c:numRef>
          </c:yVal>
          <c:smooth val="0"/>
          <c:extLst>
            <c:ext xmlns:c16="http://schemas.microsoft.com/office/drawing/2014/chart" uri="{C3380CC4-5D6E-409C-BE32-E72D297353CC}">
              <c16:uniqueId val="{00000004-D741-498C-9310-DD72D3110D0E}"/>
            </c:ext>
          </c:extLst>
        </c:ser>
        <c:ser>
          <c:idx val="6"/>
          <c:order val="5"/>
          <c:tx>
            <c:v>s150_d095</c:v>
          </c:tx>
          <c:spPr>
            <a:ln w="19050" cap="rnd">
              <a:solidFill>
                <a:schemeClr val="accent2">
                  <a:lumMod val="40000"/>
                  <a:lumOff val="60000"/>
                </a:schemeClr>
              </a:solidFill>
              <a:round/>
            </a:ln>
            <a:effectLst/>
          </c:spPr>
          <c:marker>
            <c:symbol val="circle"/>
            <c:size val="5"/>
            <c:spPr>
              <a:solidFill>
                <a:schemeClr val="accent2">
                  <a:lumMod val="40000"/>
                  <a:lumOff val="60000"/>
                </a:schemeClr>
              </a:solidFill>
              <a:ln w="9525">
                <a:solidFill>
                  <a:schemeClr val="accent2">
                    <a:lumMod val="40000"/>
                    <a:lumOff val="60000"/>
                  </a:schemeClr>
                </a:solidFill>
              </a:ln>
              <a:effectLst/>
            </c:spPr>
          </c:marker>
          <c:xVal>
            <c:numRef>
              <c:f>ConfusionData!$F$27:$F$31</c:f>
              <c:numCache>
                <c:formatCode>General</c:formatCode>
                <c:ptCount val="5"/>
                <c:pt idx="0">
                  <c:v>1</c:v>
                </c:pt>
                <c:pt idx="1">
                  <c:v>8</c:v>
                </c:pt>
                <c:pt idx="2">
                  <c:v>27</c:v>
                </c:pt>
                <c:pt idx="3">
                  <c:v>64</c:v>
                </c:pt>
                <c:pt idx="4">
                  <c:v>125</c:v>
                </c:pt>
              </c:numCache>
            </c:numRef>
          </c:xVal>
          <c:yVal>
            <c:numRef>
              <c:f>ConfusionData!$AD$27:$AD$31</c:f>
              <c:numCache>
                <c:formatCode>0.000</c:formatCode>
                <c:ptCount val="5"/>
                <c:pt idx="0">
                  <c:v>0.56264214391889178</c:v>
                </c:pt>
                <c:pt idx="1">
                  <c:v>0.56000818094497218</c:v>
                </c:pt>
                <c:pt idx="2">
                  <c:v>0.54690746584272865</c:v>
                </c:pt>
                <c:pt idx="3">
                  <c:v>0.51536026288590131</c:v>
                </c:pt>
                <c:pt idx="4">
                  <c:v>0.5</c:v>
                </c:pt>
              </c:numCache>
            </c:numRef>
          </c:yVal>
          <c:smooth val="0"/>
          <c:extLst>
            <c:ext xmlns:c16="http://schemas.microsoft.com/office/drawing/2014/chart" uri="{C3380CC4-5D6E-409C-BE32-E72D297353CC}">
              <c16:uniqueId val="{00000006-D741-498C-9310-DD72D3110D0E}"/>
            </c:ext>
          </c:extLst>
        </c:ser>
        <c:ser>
          <c:idx val="2"/>
          <c:order val="6"/>
          <c:tx>
            <c:v>s300_d055</c:v>
          </c:tx>
          <c:spPr>
            <a:ln w="19050" cap="rnd">
              <a:solidFill>
                <a:schemeClr val="accent5">
                  <a:lumMod val="75000"/>
                </a:schemeClr>
              </a:solidFill>
              <a:round/>
            </a:ln>
            <a:effectLst/>
          </c:spPr>
          <c:marker>
            <c:symbol val="circle"/>
            <c:size val="5"/>
            <c:spPr>
              <a:solidFill>
                <a:schemeClr val="accent5">
                  <a:lumMod val="75000"/>
                </a:schemeClr>
              </a:solidFill>
              <a:ln w="9525">
                <a:solidFill>
                  <a:schemeClr val="accent5">
                    <a:lumMod val="75000"/>
                  </a:schemeClr>
                </a:solidFill>
              </a:ln>
              <a:effectLst/>
            </c:spPr>
          </c:marker>
          <c:xVal>
            <c:numRef>
              <c:f>ConfusionData!$F$32:$F$36</c:f>
              <c:numCache>
                <c:formatCode>General</c:formatCode>
                <c:ptCount val="5"/>
                <c:pt idx="0">
                  <c:v>1</c:v>
                </c:pt>
                <c:pt idx="1">
                  <c:v>8</c:v>
                </c:pt>
                <c:pt idx="2">
                  <c:v>27</c:v>
                </c:pt>
                <c:pt idx="3">
                  <c:v>64</c:v>
                </c:pt>
                <c:pt idx="4">
                  <c:v>125</c:v>
                </c:pt>
              </c:numCache>
            </c:numRef>
          </c:xVal>
          <c:yVal>
            <c:numRef>
              <c:f>ConfusionData!$AD$32:$AD$36</c:f>
              <c:numCache>
                <c:formatCode>0.000</c:formatCode>
                <c:ptCount val="5"/>
                <c:pt idx="0">
                  <c:v>0.88677387722008572</c:v>
                </c:pt>
                <c:pt idx="1">
                  <c:v>0.88703171394449376</c:v>
                </c:pt>
                <c:pt idx="2">
                  <c:v>0.88802989879732808</c:v>
                </c:pt>
                <c:pt idx="3">
                  <c:v>0.887121676947631</c:v>
                </c:pt>
                <c:pt idx="4">
                  <c:v>0.87184280350758026</c:v>
                </c:pt>
              </c:numCache>
            </c:numRef>
          </c:yVal>
          <c:smooth val="0"/>
          <c:extLst>
            <c:ext xmlns:c16="http://schemas.microsoft.com/office/drawing/2014/chart" uri="{C3380CC4-5D6E-409C-BE32-E72D297353CC}">
              <c16:uniqueId val="{00000002-D741-498C-9310-DD72D3110D0E}"/>
            </c:ext>
          </c:extLst>
        </c:ser>
        <c:ser>
          <c:idx val="7"/>
          <c:order val="7"/>
          <c:tx>
            <c:v>s300_d081</c:v>
          </c:tx>
          <c:spPr>
            <a:ln w="19050"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xVal>
            <c:numRef>
              <c:f>ConfusionData!$F$37:$F$41</c:f>
              <c:numCache>
                <c:formatCode>General</c:formatCode>
                <c:ptCount val="5"/>
                <c:pt idx="0">
                  <c:v>1</c:v>
                </c:pt>
                <c:pt idx="1">
                  <c:v>8</c:v>
                </c:pt>
                <c:pt idx="2">
                  <c:v>27</c:v>
                </c:pt>
                <c:pt idx="3">
                  <c:v>64</c:v>
                </c:pt>
                <c:pt idx="4">
                  <c:v>125</c:v>
                </c:pt>
              </c:numCache>
            </c:numRef>
          </c:xVal>
          <c:yVal>
            <c:numRef>
              <c:f>ConfusionData!$AD$37:$AD$41</c:f>
              <c:numCache>
                <c:formatCode>0.000</c:formatCode>
                <c:ptCount val="5"/>
                <c:pt idx="0">
                  <c:v>0.69950203062741267</c:v>
                </c:pt>
                <c:pt idx="1">
                  <c:v>0.69947621865036314</c:v>
                </c:pt>
                <c:pt idx="2">
                  <c:v>0.69697127903961542</c:v>
                </c:pt>
                <c:pt idx="3">
                  <c:v>0.67436130193895694</c:v>
                </c:pt>
                <c:pt idx="4">
                  <c:v>0.64814616682553772</c:v>
                </c:pt>
              </c:numCache>
            </c:numRef>
          </c:yVal>
          <c:smooth val="0"/>
          <c:extLst>
            <c:ext xmlns:c16="http://schemas.microsoft.com/office/drawing/2014/chart" uri="{C3380CC4-5D6E-409C-BE32-E72D297353CC}">
              <c16:uniqueId val="{00000007-D741-498C-9310-DD72D3110D0E}"/>
            </c:ext>
          </c:extLst>
        </c:ser>
        <c:ser>
          <c:idx val="8"/>
          <c:order val="8"/>
          <c:tx>
            <c:v>s300_d095</c:v>
          </c:tx>
          <c:spPr>
            <a:ln w="19050" cap="rnd">
              <a:solidFill>
                <a:schemeClr val="accent5">
                  <a:lumMod val="40000"/>
                  <a:lumOff val="60000"/>
                </a:schemeClr>
              </a:solidFill>
              <a:round/>
            </a:ln>
            <a:effectLst/>
          </c:spPr>
          <c:marker>
            <c:symbol val="circle"/>
            <c:size val="5"/>
            <c:spPr>
              <a:solidFill>
                <a:schemeClr val="accent5">
                  <a:lumMod val="40000"/>
                  <a:lumOff val="60000"/>
                </a:schemeClr>
              </a:solidFill>
              <a:ln w="9525">
                <a:solidFill>
                  <a:schemeClr val="accent5">
                    <a:lumMod val="40000"/>
                    <a:lumOff val="60000"/>
                  </a:schemeClr>
                </a:solidFill>
              </a:ln>
              <a:effectLst/>
            </c:spPr>
          </c:marker>
          <c:xVal>
            <c:numRef>
              <c:f>ConfusionData!$F$42:$F$46</c:f>
              <c:numCache>
                <c:formatCode>General</c:formatCode>
                <c:ptCount val="5"/>
                <c:pt idx="0">
                  <c:v>1</c:v>
                </c:pt>
                <c:pt idx="1">
                  <c:v>8</c:v>
                </c:pt>
                <c:pt idx="2">
                  <c:v>27</c:v>
                </c:pt>
                <c:pt idx="3">
                  <c:v>64</c:v>
                </c:pt>
                <c:pt idx="4">
                  <c:v>125</c:v>
                </c:pt>
              </c:numCache>
            </c:numRef>
          </c:xVal>
          <c:yVal>
            <c:numRef>
              <c:f>ConfusionData!$AD$42:$AD$46</c:f>
              <c:numCache>
                <c:formatCode>0.000</c:formatCode>
                <c:ptCount val="5"/>
                <c:pt idx="0">
                  <c:v>0.55744686037975655</c:v>
                </c:pt>
                <c:pt idx="1">
                  <c:v>0.55702488431632502</c:v>
                </c:pt>
                <c:pt idx="2">
                  <c:v>0.55122376345381963</c:v>
                </c:pt>
                <c:pt idx="3">
                  <c:v>0.53941130979120322</c:v>
                </c:pt>
                <c:pt idx="4">
                  <c:v>0.5</c:v>
                </c:pt>
              </c:numCache>
            </c:numRef>
          </c:yVal>
          <c:smooth val="0"/>
          <c:extLst>
            <c:ext xmlns:c16="http://schemas.microsoft.com/office/drawing/2014/chart" uri="{C3380CC4-5D6E-409C-BE32-E72D297353CC}">
              <c16:uniqueId val="{00000008-D741-498C-9310-DD72D3110D0E}"/>
            </c:ext>
          </c:extLst>
        </c:ser>
        <c:dLbls>
          <c:showLegendKey val="0"/>
          <c:showVal val="0"/>
          <c:showCatName val="0"/>
          <c:showSerName val="0"/>
          <c:showPercent val="0"/>
          <c:showBubbleSize val="0"/>
        </c:dLbls>
        <c:axId val="1790126943"/>
        <c:axId val="1790123103"/>
      </c:scatterChart>
      <c:valAx>
        <c:axId val="1790126943"/>
        <c:scaling>
          <c:orientation val="minMax"/>
          <c:max val="125"/>
          <c:min val="0"/>
        </c:scaling>
        <c:delete val="0"/>
        <c:axPos val="b"/>
        <c:majorGridlines>
          <c:spPr>
            <a:ln w="9525" cap="flat" cmpd="sng" algn="ctr">
              <a:solidFill>
                <a:schemeClr val="bg1">
                  <a:lumMod val="75000"/>
                </a:schemeClr>
              </a:solidFill>
              <a:round/>
            </a:ln>
            <a:effectLst/>
          </c:spPr>
        </c:majorGridlines>
        <c:title>
          <c:tx>
            <c:rich>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r>
                  <a:rPr lang="en-US" sz="1050" b="1">
                    <a:solidFill>
                      <a:schemeClr val="tx1"/>
                    </a:solidFill>
                  </a:rPr>
                  <a:t>Cluster</a:t>
                </a:r>
                <a:r>
                  <a:rPr lang="en-US" sz="1050" b="1" baseline="0">
                    <a:solidFill>
                      <a:schemeClr val="tx1"/>
                    </a:solidFill>
                  </a:rPr>
                  <a:t> Size</a:t>
                </a:r>
                <a:endParaRPr lang="en-US" sz="1050" b="1">
                  <a:solidFill>
                    <a:schemeClr val="tx1"/>
                  </a:solidFill>
                </a:endParaRPr>
              </a:p>
            </c:rich>
          </c:tx>
          <c:layout>
            <c:manualLayout>
              <c:xMode val="edge"/>
              <c:yMode val="edge"/>
              <c:x val="0.42876699200331209"/>
              <c:y val="0.91822951797391417"/>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title>
        <c:numFmt formatCode="General" sourceLinked="1"/>
        <c:majorTickMark val="cross"/>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790123103"/>
        <c:crosses val="autoZero"/>
        <c:crossBetween val="midCat"/>
        <c:majorUnit val="25"/>
      </c:valAx>
      <c:valAx>
        <c:axId val="1790123103"/>
        <c:scaling>
          <c:orientation val="minMax"/>
          <c:min val="0.4"/>
        </c:scaling>
        <c:delete val="0"/>
        <c:axPos val="l"/>
        <c:majorGridlines>
          <c:spPr>
            <a:ln w="952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1050" b="1" i="0" u="none" strike="noStrike" kern="1200" baseline="0">
                    <a:solidFill>
                      <a:schemeClr val="tx1"/>
                    </a:solidFill>
                    <a:latin typeface="+mn-lt"/>
                    <a:ea typeface="+mn-ea"/>
                    <a:cs typeface="+mn-cs"/>
                  </a:defRPr>
                </a:pPr>
                <a:r>
                  <a:rPr lang="en-US" sz="1050" b="1">
                    <a:solidFill>
                      <a:schemeClr val="tx1"/>
                    </a:solidFill>
                  </a:rPr>
                  <a:t>Balanced Accuracy</a:t>
                </a: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title>
        <c:numFmt formatCode="0.000" sourceLinked="1"/>
        <c:majorTickMark val="cross"/>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790126943"/>
        <c:crosses val="autoZero"/>
        <c:crossBetween val="midCat"/>
        <c:minorUnit val="2.0000000000000004E-2"/>
      </c:valAx>
      <c:spPr>
        <a:noFill/>
        <a:ln w="12700">
          <a:solidFill>
            <a:schemeClr val="tx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21</xdr:col>
      <xdr:colOff>502022</xdr:colOff>
      <xdr:row>41</xdr:row>
      <xdr:rowOff>80683</xdr:rowOff>
    </xdr:from>
    <xdr:to>
      <xdr:col>29</xdr:col>
      <xdr:colOff>186080</xdr:colOff>
      <xdr:row>55</xdr:row>
      <xdr:rowOff>4258</xdr:rowOff>
    </xdr:to>
    <xdr:graphicFrame macro="">
      <xdr:nvGraphicFramePr>
        <xdr:cNvPr id="2" name="Chart 1">
          <a:extLst>
            <a:ext uri="{FF2B5EF4-FFF2-40B4-BE49-F238E27FC236}">
              <a16:creationId xmlns:a16="http://schemas.microsoft.com/office/drawing/2014/main" id="{21CFD887-C866-4CEA-8EFC-CF817CC090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20</xdr:col>
      <xdr:colOff>184737</xdr:colOff>
      <xdr:row>1</xdr:row>
      <xdr:rowOff>91793</xdr:rowOff>
    </xdr:from>
    <xdr:to>
      <xdr:col>27</xdr:col>
      <xdr:colOff>478395</xdr:colOff>
      <xdr:row>13</xdr:row>
      <xdr:rowOff>119743</xdr:rowOff>
    </xdr:to>
    <xdr:graphicFrame macro="">
      <xdr:nvGraphicFramePr>
        <xdr:cNvPr id="2" name="Chart 1">
          <a:extLst>
            <a:ext uri="{FF2B5EF4-FFF2-40B4-BE49-F238E27FC236}">
              <a16:creationId xmlns:a16="http://schemas.microsoft.com/office/drawing/2014/main" id="{343D542F-2FB4-67F4-78E6-E22F3DAE3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194854</xdr:colOff>
      <xdr:row>14</xdr:row>
      <xdr:rowOff>10886</xdr:rowOff>
    </xdr:from>
    <xdr:to>
      <xdr:col>27</xdr:col>
      <xdr:colOff>499654</xdr:colOff>
      <xdr:row>27</xdr:row>
      <xdr:rowOff>10887</xdr:rowOff>
    </xdr:to>
    <xdr:graphicFrame macro="">
      <xdr:nvGraphicFramePr>
        <xdr:cNvPr id="3" name="Chart 2">
          <a:extLst>
            <a:ext uri="{FF2B5EF4-FFF2-40B4-BE49-F238E27FC236}">
              <a16:creationId xmlns:a16="http://schemas.microsoft.com/office/drawing/2014/main" id="{FBAE0820-EF79-5DD3-44F4-38C66CC281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119743</xdr:colOff>
      <xdr:row>1</xdr:row>
      <xdr:rowOff>130628</xdr:rowOff>
    </xdr:from>
    <xdr:to>
      <xdr:col>35</xdr:col>
      <xdr:colOff>413401</xdr:colOff>
      <xdr:row>13</xdr:row>
      <xdr:rowOff>158578</xdr:rowOff>
    </xdr:to>
    <xdr:graphicFrame macro="">
      <xdr:nvGraphicFramePr>
        <xdr:cNvPr id="4" name="Chart 3">
          <a:extLst>
            <a:ext uri="{FF2B5EF4-FFF2-40B4-BE49-F238E27FC236}">
              <a16:creationId xmlns:a16="http://schemas.microsoft.com/office/drawing/2014/main" id="{C8397A09-A4E2-490B-84B6-61A704484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237564</xdr:colOff>
      <xdr:row>39</xdr:row>
      <xdr:rowOff>116543</xdr:rowOff>
    </xdr:from>
    <xdr:to>
      <xdr:col>15</xdr:col>
      <xdr:colOff>58270</xdr:colOff>
      <xdr:row>54</xdr:row>
      <xdr:rowOff>170331</xdr:rowOff>
    </xdr:to>
    <xdr:graphicFrame macro="">
      <xdr:nvGraphicFramePr>
        <xdr:cNvPr id="5" name="Chart 4">
          <a:extLst>
            <a:ext uri="{FF2B5EF4-FFF2-40B4-BE49-F238E27FC236}">
              <a16:creationId xmlns:a16="http://schemas.microsoft.com/office/drawing/2014/main" id="{E94D7253-5A40-0E64-EC7E-CCA3AEFA19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259976</xdr:colOff>
      <xdr:row>39</xdr:row>
      <xdr:rowOff>125506</xdr:rowOff>
    </xdr:from>
    <xdr:to>
      <xdr:col>22</xdr:col>
      <xdr:colOff>537882</xdr:colOff>
      <xdr:row>55</xdr:row>
      <xdr:rowOff>0</xdr:rowOff>
    </xdr:to>
    <xdr:graphicFrame macro="">
      <xdr:nvGraphicFramePr>
        <xdr:cNvPr id="6" name="Chart 5">
          <a:extLst>
            <a:ext uri="{FF2B5EF4-FFF2-40B4-BE49-F238E27FC236}">
              <a16:creationId xmlns:a16="http://schemas.microsoft.com/office/drawing/2014/main" id="{5001DBAE-4C28-45C2-B518-C501799B2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161363</xdr:colOff>
      <xdr:row>37</xdr:row>
      <xdr:rowOff>44824</xdr:rowOff>
    </xdr:from>
    <xdr:to>
      <xdr:col>30</xdr:col>
      <xdr:colOff>161364</xdr:colOff>
      <xdr:row>56</xdr:row>
      <xdr:rowOff>143436</xdr:rowOff>
    </xdr:to>
    <xdr:graphicFrame macro="">
      <xdr:nvGraphicFramePr>
        <xdr:cNvPr id="8" name="Chart 7">
          <a:extLst>
            <a:ext uri="{FF2B5EF4-FFF2-40B4-BE49-F238E27FC236}">
              <a16:creationId xmlns:a16="http://schemas.microsoft.com/office/drawing/2014/main" id="{63A6D7B4-6F33-42DE-8402-6BEC121C8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394448</xdr:colOff>
      <xdr:row>57</xdr:row>
      <xdr:rowOff>17930</xdr:rowOff>
    </xdr:from>
    <xdr:to>
      <xdr:col>30</xdr:col>
      <xdr:colOff>394449</xdr:colOff>
      <xdr:row>76</xdr:row>
      <xdr:rowOff>116542</xdr:rowOff>
    </xdr:to>
    <xdr:graphicFrame macro="">
      <xdr:nvGraphicFramePr>
        <xdr:cNvPr id="7" name="Chart 6">
          <a:extLst>
            <a:ext uri="{FF2B5EF4-FFF2-40B4-BE49-F238E27FC236}">
              <a16:creationId xmlns:a16="http://schemas.microsoft.com/office/drawing/2014/main" id="{BCDE9FAC-32E5-48A7-B051-C4A15CF3EC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233082</xdr:colOff>
      <xdr:row>75</xdr:row>
      <xdr:rowOff>161364</xdr:rowOff>
    </xdr:from>
    <xdr:to>
      <xdr:col>30</xdr:col>
      <xdr:colOff>233083</xdr:colOff>
      <xdr:row>95</xdr:row>
      <xdr:rowOff>134470</xdr:rowOff>
    </xdr:to>
    <xdr:graphicFrame macro="">
      <xdr:nvGraphicFramePr>
        <xdr:cNvPr id="9" name="Chart 8">
          <a:extLst>
            <a:ext uri="{FF2B5EF4-FFF2-40B4-BE49-F238E27FC236}">
              <a16:creationId xmlns:a16="http://schemas.microsoft.com/office/drawing/2014/main" id="{3A09B604-8CDD-45EE-9C30-F624311E1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179294</xdr:colOff>
      <xdr:row>96</xdr:row>
      <xdr:rowOff>125506</xdr:rowOff>
    </xdr:from>
    <xdr:to>
      <xdr:col>30</xdr:col>
      <xdr:colOff>179295</xdr:colOff>
      <xdr:row>116</xdr:row>
      <xdr:rowOff>98611</xdr:rowOff>
    </xdr:to>
    <xdr:graphicFrame macro="">
      <xdr:nvGraphicFramePr>
        <xdr:cNvPr id="10" name="Chart 9">
          <a:extLst>
            <a:ext uri="{FF2B5EF4-FFF2-40B4-BE49-F238E27FC236}">
              <a16:creationId xmlns:a16="http://schemas.microsoft.com/office/drawing/2014/main" id="{6DF11CA6-6E96-4259-8FC4-AD6E73A90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23</xdr:col>
      <xdr:colOff>304800</xdr:colOff>
      <xdr:row>7</xdr:row>
      <xdr:rowOff>118110</xdr:rowOff>
    </xdr:from>
    <xdr:to>
      <xdr:col>28</xdr:col>
      <xdr:colOff>91440</xdr:colOff>
      <xdr:row>22</xdr:row>
      <xdr:rowOff>118110</xdr:rowOff>
    </xdr:to>
    <xdr:graphicFrame macro="">
      <xdr:nvGraphicFramePr>
        <xdr:cNvPr id="2" name="Chart 1">
          <a:extLst>
            <a:ext uri="{FF2B5EF4-FFF2-40B4-BE49-F238E27FC236}">
              <a16:creationId xmlns:a16="http://schemas.microsoft.com/office/drawing/2014/main" id="{C6E669F4-F142-9E3E-E7DC-9AE0E9725B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106680</xdr:colOff>
      <xdr:row>23</xdr:row>
      <xdr:rowOff>129540</xdr:rowOff>
    </xdr:from>
    <xdr:to>
      <xdr:col>27</xdr:col>
      <xdr:colOff>594360</xdr:colOff>
      <xdr:row>38</xdr:row>
      <xdr:rowOff>129540</xdr:rowOff>
    </xdr:to>
    <xdr:graphicFrame macro="">
      <xdr:nvGraphicFramePr>
        <xdr:cNvPr id="3" name="Chart 2">
          <a:extLst>
            <a:ext uri="{FF2B5EF4-FFF2-40B4-BE49-F238E27FC236}">
              <a16:creationId xmlns:a16="http://schemas.microsoft.com/office/drawing/2014/main" id="{CA76BC48-4AA6-455D-A4A2-FA3C07596E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30480</xdr:colOff>
      <xdr:row>5</xdr:row>
      <xdr:rowOff>118110</xdr:rowOff>
    </xdr:from>
    <xdr:to>
      <xdr:col>15</xdr:col>
      <xdr:colOff>579120</xdr:colOff>
      <xdr:row>26</xdr:row>
      <xdr:rowOff>160020</xdr:rowOff>
    </xdr:to>
    <xdr:graphicFrame macro="">
      <xdr:nvGraphicFramePr>
        <xdr:cNvPr id="2" name="Chart 1">
          <a:extLst>
            <a:ext uri="{FF2B5EF4-FFF2-40B4-BE49-F238E27FC236}">
              <a16:creationId xmlns:a16="http://schemas.microsoft.com/office/drawing/2014/main" id="{EFF51E3B-BFD7-4022-8475-3D3145A721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ylor Uselman" refreshedDate="46048.475309953705" createdVersion="8" refreshedVersion="8" minRefreshableVersion="3" recordCount="45" xr:uid="{090629B3-A13A-425D-8998-D0ED7B918454}">
  <cacheSource type="worksheet">
    <worksheetSource name="Table1"/>
  </cacheSource>
  <cacheFields count="41">
    <cacheField name="Path" numFmtId="0">
      <sharedItems/>
    </cacheField>
    <cacheField name="SPM" numFmtId="0">
      <sharedItems/>
    </cacheField>
    <cacheField name="Mask" numFmtId="0">
      <sharedItems/>
    </cacheField>
    <cacheField name="Kernel" numFmtId="0">
      <sharedItems containsSemiMixedTypes="0" containsString="0" containsNumber="1" containsInteger="1" minValue="0" maxValue="300" count="3">
        <n v="0"/>
        <n v="150"/>
        <n v="300"/>
      </sharedItems>
    </cacheField>
    <cacheField name="CohD" numFmtId="165">
      <sharedItems containsSemiMixedTypes="0" containsString="0" containsNumber="1" minValue="0.54647760000000001" maxValue="0.94959170000000004" count="3">
        <n v="0.54647760000000001"/>
        <n v="0.8061161"/>
        <n v="0.94959170000000004"/>
      </sharedItems>
    </cacheField>
    <cacheField name="ClusterSize" numFmtId="0">
      <sharedItems containsSemiMixedTypes="0" containsString="0" containsNumber="1" containsInteger="1" minValue="1" maxValue="125" count="5">
        <n v="1"/>
        <n v="8"/>
        <n v="27"/>
        <n v="64"/>
        <n v="125"/>
      </sharedItems>
    </cacheField>
    <cacheField name="PosPreBound" numFmtId="0">
      <sharedItems containsString="0" containsBlank="1" containsNumber="1" containsInteger="1" minValue="0" maxValue="44722"/>
    </cacheField>
    <cacheField name="NegActBound" numFmtId="0">
      <sharedItems containsString="0" containsBlank="1" containsNumber="1" containsInteger="1" minValue="162240" maxValue="820470"/>
    </cacheField>
    <cacheField name="BoundFPR" numFmtId="0">
      <sharedItems containsString="0" containsBlank="1" containsNumber="1" minValue="0" maxValue="6.2197978303747535E-2"/>
    </cacheField>
    <cacheField name="Total" numFmtId="0">
      <sharedItems containsSemiMixedTypes="0" containsString="0" containsNumber="1" containsInteger="1" minValue="2033600" maxValue="2033600" count="1">
        <n v="2033600"/>
      </sharedItems>
    </cacheField>
    <cacheField name="PosAct" numFmtId="0">
      <sharedItems containsSemiMixedTypes="0" containsString="0" containsNumber="1" containsInteger="1" minValue="5400" maxValue="5400"/>
    </cacheField>
    <cacheField name="NegAct" numFmtId="0">
      <sharedItems containsSemiMixedTypes="0" containsString="0" containsNumber="1" containsInteger="1" minValue="2028200" maxValue="2028200"/>
    </cacheField>
    <cacheField name="PosPre" numFmtId="0">
      <sharedItems containsSemiMixedTypes="0" containsString="0" containsNumber="1" containsInteger="1" minValue="0" maxValue="105110"/>
    </cacheField>
    <cacheField name="NegPre" numFmtId="0">
      <sharedItems containsSemiMixedTypes="0" containsString="0" containsNumber="1" containsInteger="1" minValue="1928490" maxValue="2033600"/>
    </cacheField>
    <cacheField name="TP" numFmtId="0">
      <sharedItems containsSemiMixedTypes="0" containsString="0" containsNumber="1" containsInteger="1" minValue="0" maxValue="4444"/>
    </cacheField>
    <cacheField name="FP" numFmtId="0">
      <sharedItems containsSemiMixedTypes="0" containsString="0" containsNumber="1" containsInteger="1" minValue="0" maxValue="100666"/>
    </cacheField>
    <cacheField name="FN" numFmtId="0">
      <sharedItems containsSemiMixedTypes="0" containsString="0" containsNumber="1" containsInteger="1" minValue="956" maxValue="5400"/>
    </cacheField>
    <cacheField name="TN" numFmtId="0">
      <sharedItems containsSemiMixedTypes="0" containsString="0" containsNumber="1" containsInteger="1" minValue="1927534" maxValue="2028200"/>
    </cacheField>
    <cacheField name="TEST1" numFmtId="0">
      <sharedItems/>
    </cacheField>
    <cacheField name="FPR" numFmtId="164">
      <sharedItems containsSemiMixedTypes="0" containsString="0" containsNumber="1" minValue="0" maxValue="4.9633172270979194E-2"/>
    </cacheField>
    <cacheField name="Specificity" numFmtId="164">
      <sharedItems containsSemiMixedTypes="0" containsString="0" containsNumber="1" minValue="0.95036682772902081" maxValue="1"/>
    </cacheField>
    <cacheField name="FDR" numFmtId="164">
      <sharedItems containsString="0" containsBlank="1" containsNumber="1" minValue="2.4390243902439025E-2" maxValue="1"/>
    </cacheField>
    <cacheField name="PPV" numFmtId="164">
      <sharedItems containsString="0" containsBlank="1" containsNumber="1" minValue="0" maxValue="0.97560975609756095"/>
    </cacheField>
    <cacheField name="FNR" numFmtId="164">
      <sharedItems containsSemiMixedTypes="0" containsString="0" containsNumber="1" minValue="0.17703703703703705" maxValue="1"/>
    </cacheField>
    <cacheField name="Sensitivity" numFmtId="164">
      <sharedItems containsSemiMixedTypes="0" containsString="0" containsNumber="1" minValue="0" maxValue="0.8229629629629629"/>
    </cacheField>
    <cacheField name="NPV" numFmtId="164">
      <sharedItems containsSemiMixedTypes="0" containsString="0" containsNumber="1" minValue="0.99733136579216186" maxValue="0.99950558082020569"/>
    </cacheField>
    <cacheField name="FOR" numFmtId="164">
      <sharedItems containsSemiMixedTypes="0" containsString="0" containsNumber="1" minValue="4.9441917979431427E-4" maxValue="2.6686342078381387E-3"/>
    </cacheField>
    <cacheField name="FNR_FPR" numFmtId="164">
      <sharedItems containsString="0" containsBlank="1" containsNumber="1" minValue="3.5669095674658626" maxValue="66104.296296296292"/>
    </cacheField>
    <cacheField name="Sens_Spec" numFmtId="164">
      <sharedItems containsSemiMixedTypes="0" containsString="0" containsNumber="1" minValue="0" maxValue="0.86594243291245776"/>
    </cacheField>
    <cacheField name="BalAcc" numFmtId="164">
      <sharedItems containsSemiMixedTypes="0" containsString="0" containsNumber="1" minValue="0.49751183315254904" maxValue="0.89360102188767998"/>
    </cacheField>
    <cacheField name="wBalAcc" numFmtId="164">
      <sharedItems containsSemiMixedTypes="0" containsString="0" containsNumber="1" minValue="0.54015570456562467" maxValue="0.90087467449699965"/>
    </cacheField>
    <cacheField name="MSE_Sens_Spec" numFmtId="164">
      <sharedItems containsSemiMixedTypes="0" containsString="0" containsNumber="1" minValue="1.6978274307453381E-4" maxValue="0.32125000000000009"/>
    </cacheField>
    <cacheField name="F1Score" numFmtId="164">
      <sharedItems containsString="0" containsBlank="1" containsNumber="1" minValue="5.9211699661137852E-2" maxValue="0.73610223642172534"/>
    </cacheField>
    <cacheField name="LRPlus" numFmtId="164">
      <sharedItems containsString="0" containsBlank="1" containsNumber="1" minValue="0" maxValue="15023.703703703708"/>
    </cacheField>
    <cacheField name="LRMinus" numFmtId="164">
      <sharedItems containsSemiMixedTypes="0" containsString="0" containsNumber="1" minValue="0.18579204071481198" maxValue="1.0050012214416777"/>
    </cacheField>
    <cacheField name="DOR" numFmtId="164">
      <sharedItems containsString="0" containsBlank="1" containsNumber="1" minValue="0" maxValue="20756.043859649126"/>
    </cacheField>
    <cacheField name="FM" numFmtId="164">
      <sharedItems containsSemiMixedTypes="0" containsString="0" containsNumber="1" minValue="0" maxValue="0.7445440649563021"/>
    </cacheField>
    <cacheField name="MattCorCoef" numFmtId="164">
      <sharedItems containsSemiMixedTypes="0" containsString="0" containsNumber="1" minValue="-3.6441753975121351E-3" maxValue="0.74397920785706051"/>
    </cacheField>
    <cacheField name="Jaccard" numFmtId="164">
      <sharedItems containsSemiMixedTypes="0" containsString="0" containsNumber="1" minValue="0" maxValue="0.58240647118301314"/>
    </cacheField>
    <cacheField name="YoudenJ" numFmtId="164">
      <sharedItems containsSemiMixedTypes="0" containsString="0" containsNumber="1" minValue="-4.9763336949019132E-3" maxValue="0.78720204377535996"/>
    </cacheField>
    <cacheField name="FPRCorr" numFmtId="11">
      <sharedItems containsString="0" containsBlank="1" containsNumber="1" minValue="4.930480228774282E-7" maxValue="4.9304802287742831E-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s v="SPM_s000"/>
    <s v="spmT_Pos_s000_p05_d5.464776e-01_c01.nii"/>
    <s v="./GridMasks/Binarized/s000_Grid_CohD_Mask_bin.nii"/>
    <x v="0"/>
    <x v="0"/>
    <x v="0"/>
    <m/>
    <m/>
    <m/>
    <x v="0"/>
    <n v="5400"/>
    <n v="2028200"/>
    <n v="104011"/>
    <n v="1929589"/>
    <n v="3600"/>
    <n v="100411"/>
    <n v="1800"/>
    <n v="1927789"/>
    <s v=""/>
    <n v="4.9507445025145452E-2"/>
    <n v="0.95049255497485452"/>
    <n v="0.96538827624001311"/>
    <n v="3.461172375998689E-2"/>
    <n v="0.33333333333333331"/>
    <n v="0.66666666666666674"/>
    <n v="0.99906715886129116"/>
    <n v="9.3284113870883978E-4"/>
    <n v="6.7329940610756447"/>
    <n v="0.70139072965627125"/>
    <n v="0.80857961082076057"/>
    <n v="0.82074357746254012"/>
    <n v="8.889010194090512E-3"/>
    <n v="6.5806911553682831E-2"/>
    <n v="13.465988122151293"/>
    <n v="0.35069536482813557"/>
    <n v="38.397964366453877"/>
    <n v="0.15190287194999944"/>
    <n v="0.14417084651310097"/>
    <n v="3.4022927672926258E-2"/>
    <n v="0.61715922164152115"/>
    <n v="4.9304802287742831E-7"/>
  </r>
  <r>
    <s v="SPM_s000"/>
    <s v="spmT_Pos_s000_p05_d5.464776e-01_c08.nii"/>
    <s v="./GridMasks/Binarized/s000_Grid_CohD_Mask_bin.nii"/>
    <x v="0"/>
    <x v="0"/>
    <x v="1"/>
    <m/>
    <m/>
    <m/>
    <x v="0"/>
    <n v="5400"/>
    <n v="2028200"/>
    <n v="8549"/>
    <n v="2025051"/>
    <n v="3584"/>
    <n v="4965"/>
    <n v="1816"/>
    <n v="2023235"/>
    <s v=""/>
    <n v="2.4479834335864314E-3"/>
    <n v="0.99755201656641357"/>
    <n v="0.58076968066440515"/>
    <n v="0.41923031933559485"/>
    <n v="0.33629629629629632"/>
    <n v="0.66370370370370368"/>
    <n v="0.99910323246179977"/>
    <n v="8.9676753820022714E-4"/>
    <n v="137.37686770355452"/>
    <n v="0.66533242646150936"/>
    <n v="0.83062786013505863"/>
    <n v="0.84493564497203189"/>
    <n v="1.0418937331810142E-2"/>
    <n v="0.51387196214782416"/>
    <n v="271.12262877177278"/>
    <n v="0.33712156430080942"/>
    <n v="804.22808114954466"/>
    <n v="0.52748906685155161"/>
    <n v="0.52595195037849474"/>
    <n v="0.34577906415822479"/>
    <n v="0.66125572027011725"/>
    <n v="4.9304802287742831E-7"/>
  </r>
  <r>
    <s v="SPM_s000"/>
    <s v="spmT_Pos_s000_p05_d5.464776e-01_c27.nii"/>
    <s v="./GridMasks/Binarized/s000_Grid_CohD_Mask_bin.nii"/>
    <x v="0"/>
    <x v="0"/>
    <x v="2"/>
    <m/>
    <m/>
    <m/>
    <x v="0"/>
    <n v="5400"/>
    <n v="2028200"/>
    <n v="3990"/>
    <n v="2029610"/>
    <n v="3456"/>
    <n v="534"/>
    <n v="1944"/>
    <n v="2027666"/>
    <s v=""/>
    <n v="2.6328764421654671E-4"/>
    <n v="0.99973671235578343"/>
    <n v="0.13383458646616542"/>
    <n v="0.86616541353383458"/>
    <n v="0.36"/>
    <n v="0.64"/>
    <n v="0.99904218051743932"/>
    <n v="9.578194825606845E-4"/>
    <n v="1367.325842696629"/>
    <n v="0.64016854846902793"/>
    <n v="0.81986835617789167"/>
    <n v="0.83528564385028237"/>
    <n v="1.4036870277980978E-2"/>
    <n v="0.73610223642172534"/>
    <n v="2430.8014981273409"/>
    <n v="0.36009480851382819"/>
    <n v="6750.4486059092806"/>
    <n v="0.7445440649563021"/>
    <n v="0.74397920785706051"/>
    <n v="0.58240647118301314"/>
    <n v="0.63973671235578333"/>
    <n v="4.9304802287742831E-7"/>
  </r>
  <r>
    <s v="SPM_s000"/>
    <s v="spmT_Pos_s000_p05_d5.464776e-01_c64.nii"/>
    <s v="./GridMasks/Binarized/s000_Grid_CohD_Mask_bin.nii"/>
    <x v="0"/>
    <x v="0"/>
    <x v="3"/>
    <m/>
    <m/>
    <m/>
    <x v="0"/>
    <n v="5400"/>
    <n v="2028200"/>
    <n v="3456"/>
    <n v="2030144"/>
    <n v="3024"/>
    <n v="432"/>
    <n v="2376"/>
    <n v="2027768"/>
    <s v=""/>
    <n v="2.12996745883049E-4"/>
    <n v="0.99978700325411696"/>
    <n v="0.125"/>
    <n v="0.875"/>
    <n v="0.44"/>
    <n v="0.56000000000000005"/>
    <n v="0.99882963967088045"/>
    <n v="1.1703603291195463E-3"/>
    <n v="2065.7592592592591"/>
    <n v="0.56011930358897077"/>
    <n v="0.77989350162705851"/>
    <n v="0.79874151605223498"/>
    <n v="3.0039372846512726E-2"/>
    <n v="0.68292682926829273"/>
    <n v="2629.1481481481487"/>
    <n v="0.44009373853419131"/>
    <n v="5974.0639730639741"/>
    <n v="0.70000000000000007"/>
    <n v="0.69939865266240464"/>
    <n v="0.51851851851851849"/>
    <n v="0.55978700325411701"/>
    <n v="4.930480228774282E-7"/>
  </r>
  <r>
    <s v="SPM_s000"/>
    <s v="spmT_Pos_s000_p05_d5.464776e-01_c125.nii"/>
    <s v="./GridMasks/Binarized/s000_Grid_CohD_Mask_bin.nii"/>
    <x v="0"/>
    <x v="0"/>
    <x v="4"/>
    <m/>
    <m/>
    <m/>
    <x v="0"/>
    <n v="5400"/>
    <n v="2028200"/>
    <n v="2224"/>
    <n v="2031376"/>
    <n v="2000"/>
    <n v="224"/>
    <n v="3400"/>
    <n v="2027976"/>
    <s v=""/>
    <n v="1.1044275712454392E-4"/>
    <n v="0.99988955724287543"/>
    <n v="0.10071942446043165"/>
    <n v="0.89928057553956831"/>
    <n v="0.62962962962962965"/>
    <n v="0.37037037037037035"/>
    <n v="0.99832625766967809"/>
    <n v="1.6737423303219146E-3"/>
    <n v="5700.9589947089953"/>
    <n v="0.3704112796133609"/>
    <n v="0.68512996380662283"/>
    <n v="0.71210935752973015"/>
    <n v="9.3535293288791468E-2"/>
    <n v="0.52465897166841546"/>
    <n v="3353.5052910052909"/>
    <n v="0.62969917534271358"/>
    <n v="5325.5672268907556"/>
    <n v="0.57711946755370302"/>
    <n v="0.57649617612713644"/>
    <n v="0.35561877667140823"/>
    <n v="0.37025992761324567"/>
    <n v="4.930480228774282E-7"/>
  </r>
  <r>
    <s v="SPM_s000"/>
    <s v="spmT_Pos_s000_p05_d8.061161e-01_c01.nii"/>
    <s v="./GridMasks/Binarized/s000_Grid_CohD_Mask_bin.nii"/>
    <x v="0"/>
    <x v="1"/>
    <x v="0"/>
    <m/>
    <m/>
    <m/>
    <x v="0"/>
    <n v="5400"/>
    <n v="2028200"/>
    <n v="24855"/>
    <n v="2008745"/>
    <n v="1800"/>
    <n v="23055"/>
    <n v="3600"/>
    <n v="2005145"/>
    <s v=""/>
    <n v="1.1367222167439109E-2"/>
    <n v="0.98863277783256087"/>
    <n v="0.92757996378998187"/>
    <n v="7.2420036210018135E-2"/>
    <n v="0.66666666666666663"/>
    <n v="0.33333333333333337"/>
    <n v="0.9982078362360578"/>
    <n v="1.7921637639422006E-3"/>
    <n v="58.648160196631238"/>
    <n v="0.33716597386556424"/>
    <n v="0.66098305558294712"/>
    <n v="0.6890673174900569"/>
    <n v="0.10963513465041889"/>
    <n v="0.11898859692612795"/>
    <n v="29.324080098315623"/>
    <n v="0.67433194773112837"/>
    <n v="43.486120147473429"/>
    <n v="0.15537056371786145"/>
    <n v="0.15079715326021206"/>
    <n v="6.3257775434897204E-2"/>
    <n v="0.32196611116589424"/>
    <n v="4.9304802287742831E-7"/>
  </r>
  <r>
    <s v="SPM_s000"/>
    <s v="spmT_Pos_s000_p05_d8.061161e-01_c08.nii"/>
    <s v="./GridMasks/Binarized/s000_Grid_CohD_Mask_bin.nii"/>
    <x v="0"/>
    <x v="1"/>
    <x v="1"/>
    <m/>
    <m/>
    <m/>
    <x v="0"/>
    <n v="5400"/>
    <n v="2028200"/>
    <n v="1842"/>
    <n v="2031758"/>
    <n v="1792"/>
    <n v="50"/>
    <n v="3608"/>
    <n v="2028150"/>
    <s v=""/>
    <n v="2.4652401143871413E-5"/>
    <n v="0.99997534759885609"/>
    <n v="2.714440825190011E-2"/>
    <n v="0.97285559174809988"/>
    <n v="0.66814814814814816"/>
    <n v="0.33185185185185184"/>
    <n v="0.99822419796058393"/>
    <n v="1.7758020394160745E-3"/>
    <n v="27102.761481481481"/>
    <n v="0.33186003299850897"/>
    <n v="0.66591359972535402"/>
    <n v="0.69454746382879695"/>
    <n v="0.11083011199108352"/>
    <n v="0.49489091411212371"/>
    <n v="13461.238518518518"/>
    <n v="0.66816462001039079"/>
    <n v="20146.589800443457"/>
    <n v="0.56819356711074798"/>
    <n v="0.5676536682363772"/>
    <n v="0.32880733944954127"/>
    <n v="0.33182719945070804"/>
    <n v="4.9304802287742831E-7"/>
  </r>
  <r>
    <s v="SPM_s000"/>
    <s v="spmT_Pos_s000_p05_d8.061161e-01_c27.nii"/>
    <s v="./GridMasks/Binarized/s000_Grid_CohD_Mask_bin.nii"/>
    <x v="0"/>
    <x v="1"/>
    <x v="2"/>
    <m/>
    <m/>
    <m/>
    <x v="0"/>
    <n v="5400"/>
    <n v="2028200"/>
    <n v="1775"/>
    <n v="2031825"/>
    <n v="1728"/>
    <n v="47"/>
    <n v="3672"/>
    <n v="2028153"/>
    <s v=""/>
    <n v="2.3173257075239128E-5"/>
    <n v="0.99997682674292476"/>
    <n v="2.647887323943662E-2"/>
    <n v="0.97352112676056335"/>
    <n v="0.68"/>
    <n v="0.31999999999999995"/>
    <n v="0.99819275774242366"/>
    <n v="1.8072422575763358E-3"/>
    <n v="29344.170212765959"/>
    <n v="0.32000741561410795"/>
    <n v="0.65998841337146241"/>
    <n v="0.68913027737473054"/>
    <n v="0.1164488416056462"/>
    <n v="0.48167247386759582"/>
    <n v="13809.021276595742"/>
    <n v="0.68001575817997961"/>
    <n v="20306.913642052557"/>
    <n v="0.55814582374445865"/>
    <n v="0.55760732174650174"/>
    <n v="0.31723884707178263"/>
    <n v="0.31997682674292482"/>
    <n v="4.930480228774282E-7"/>
  </r>
  <r>
    <s v="SPM_s000"/>
    <s v="spmT_Pos_s000_p05_d8.061161e-01_c64.nii"/>
    <s v="./GridMasks/Binarized/s000_Grid_CohD_Mask_bin.nii"/>
    <x v="0"/>
    <x v="1"/>
    <x v="3"/>
    <m/>
    <m/>
    <m/>
    <x v="0"/>
    <n v="5400"/>
    <n v="2028200"/>
    <n v="1550"/>
    <n v="2032050"/>
    <n v="1512"/>
    <n v="38"/>
    <n v="3888"/>
    <n v="2028162"/>
    <s v=""/>
    <n v="1.8735824869342274E-5"/>
    <n v="0.99998126417513067"/>
    <n v="2.4516129032258065E-2"/>
    <n v="0.97548387096774192"/>
    <n v="0.72"/>
    <n v="0.28000000000000003"/>
    <n v="0.99808666125341405"/>
    <n v="1.9133387465859464E-3"/>
    <n v="38429.052631578947"/>
    <n v="0.28000524612925398"/>
    <n v="0.63999063208756535"/>
    <n v="0.67084697198078513"/>
    <n v="0.13644906338427212"/>
    <n v="0.43510791366906482"/>
    <n v="14944.63157894737"/>
    <n v="0.72001349004665305"/>
    <n v="20756.043859649126"/>
    <n v="0.52262365414413436"/>
    <n v="0.52209339047236947"/>
    <n v="0.27804339830820152"/>
    <n v="0.2799812641751307"/>
    <n v="4.9304802287742831E-7"/>
  </r>
  <r>
    <s v="SPM_s000"/>
    <s v="spmT_Pos_s000_p05_d8.061161e-01_c125.nii"/>
    <s v="./GridMasks/Binarized/s000_Grid_CohD_Mask_bin.nii"/>
    <x v="0"/>
    <x v="1"/>
    <x v="4"/>
    <m/>
    <m/>
    <m/>
    <x v="0"/>
    <n v="5400"/>
    <n v="2028200"/>
    <n v="1025"/>
    <n v="2032575"/>
    <n v="1000"/>
    <n v="25"/>
    <n v="4400"/>
    <n v="2028175"/>
    <s v=""/>
    <n v="1.2326200571935707E-5"/>
    <n v="0.9999876737994281"/>
    <n v="2.4390243902439025E-2"/>
    <n v="0.97560975609756095"/>
    <n v="0.81481481481481477"/>
    <n v="0.18518518518518523"/>
    <n v="0.99783525823155361"/>
    <n v="2.1647417684463877E-3"/>
    <n v="66104.296296296292"/>
    <n v="0.18518746784305726"/>
    <n v="0.59258642949230667"/>
    <n v="0.62750653614720275"/>
    <n v="0.19024801202382655"/>
    <n v="0.31128404669260706"/>
    <n v="15023.703703703708"/>
    <n v="0.81482485850945174"/>
    <n v="18437.954545454551"/>
    <n v="0.42505114204222555"/>
    <n v="0.42456518506307134"/>
    <n v="0.18433179723502305"/>
    <n v="0.18517285898461333"/>
    <n v="4.9304802287742831E-7"/>
  </r>
  <r>
    <s v="SPM_s000"/>
    <s v="spmT_Pos_s000_p05_d9.495917e-01_c01.nii"/>
    <s v="./GridMasks/Binarized/s000_Grid_CohD_Mask_bin.nii"/>
    <x v="0"/>
    <x v="2"/>
    <x v="0"/>
    <m/>
    <m/>
    <m/>
    <x v="0"/>
    <n v="5400"/>
    <n v="2028200"/>
    <n v="10093"/>
    <n v="2023507"/>
    <n v="0"/>
    <n v="10093"/>
    <n v="5400"/>
    <n v="2018107"/>
    <s v=""/>
    <n v="4.9763336949018838E-3"/>
    <n v="0.99502366630509809"/>
    <n v="1"/>
    <n v="0"/>
    <n v="1"/>
    <n v="0"/>
    <n v="0.99733136579216186"/>
    <n v="2.6686342078381387E-3"/>
    <n v="200.95115426533241"/>
    <n v="0"/>
    <n v="0.49751183315254904"/>
    <n v="0.54015570456562467"/>
    <n v="0.3210135652637765"/>
    <m/>
    <n v="0"/>
    <n v="1.0050012214416777"/>
    <n v="0"/>
    <n v="0"/>
    <n v="-3.6441753975121351E-3"/>
    <n v="0"/>
    <n v="-4.9763336949019132E-3"/>
    <n v="4.9304802287742831E-7"/>
  </r>
  <r>
    <s v="SPM_s000"/>
    <s v="spmT_Pos_s000_p05_d9.495917e-01_c08.nii"/>
    <s v="./GridMasks/Binarized/s000_Grid_CohD_Mask_bin.nii"/>
    <x v="0"/>
    <x v="2"/>
    <x v="1"/>
    <m/>
    <m/>
    <m/>
    <x v="0"/>
    <n v="5400"/>
    <n v="2028200"/>
    <n v="0"/>
    <n v="2033600"/>
    <n v="0"/>
    <n v="0"/>
    <n v="5400"/>
    <n v="2028200"/>
    <s v=""/>
    <n v="0"/>
    <n v="1"/>
    <m/>
    <m/>
    <n v="1"/>
    <n v="0"/>
    <n v="0.99734461054287959"/>
    <n v="2.6553894571204051E-3"/>
    <m/>
    <n v="0"/>
    <n v="0.5"/>
    <n v="0.54285714285714282"/>
    <n v="0.32125000000000009"/>
    <m/>
    <m/>
    <n v="1"/>
    <m/>
    <n v="0"/>
    <n v="0"/>
    <n v="0"/>
    <n v="0"/>
    <m/>
  </r>
  <r>
    <s v="SPM_s000"/>
    <s v="spmT_Pos_s000_p05_d9.495917e-01_c27.nii"/>
    <s v="./GridMasks/Binarized/s000_Grid_CohD_Mask_bin.nii"/>
    <x v="0"/>
    <x v="2"/>
    <x v="2"/>
    <m/>
    <m/>
    <m/>
    <x v="0"/>
    <n v="5400"/>
    <n v="2028200"/>
    <n v="0"/>
    <n v="2033600"/>
    <n v="0"/>
    <n v="0"/>
    <n v="5400"/>
    <n v="2028200"/>
    <s v=""/>
    <n v="0"/>
    <n v="1"/>
    <m/>
    <m/>
    <n v="1"/>
    <n v="0"/>
    <n v="0.99734461054287959"/>
    <n v="2.6553894571204051E-3"/>
    <m/>
    <n v="0"/>
    <n v="0.5"/>
    <n v="0.54285714285714282"/>
    <n v="0.32125000000000009"/>
    <m/>
    <m/>
    <n v="1"/>
    <m/>
    <n v="0"/>
    <n v="0"/>
    <n v="0"/>
    <n v="0"/>
    <m/>
  </r>
  <r>
    <s v="SPM_s000"/>
    <s v="spmT_Pos_s000_p05_d9.495917e-01_c64.nii"/>
    <s v="./GridMasks/Binarized/s000_Grid_CohD_Mask_bin.nii"/>
    <x v="0"/>
    <x v="2"/>
    <x v="3"/>
    <m/>
    <m/>
    <m/>
    <x v="0"/>
    <n v="5400"/>
    <n v="2028200"/>
    <n v="0"/>
    <n v="2033600"/>
    <n v="0"/>
    <n v="0"/>
    <n v="5400"/>
    <n v="2028200"/>
    <s v=""/>
    <n v="0"/>
    <n v="1"/>
    <m/>
    <m/>
    <n v="1"/>
    <n v="0"/>
    <n v="0.99734461054287959"/>
    <n v="2.6553894571204051E-3"/>
    <m/>
    <n v="0"/>
    <n v="0.5"/>
    <n v="0.54285714285714282"/>
    <n v="0.32125000000000009"/>
    <m/>
    <m/>
    <n v="1"/>
    <m/>
    <n v="0"/>
    <n v="0"/>
    <n v="0"/>
    <n v="0"/>
    <m/>
  </r>
  <r>
    <s v="SPM_s000"/>
    <s v="spmT_Pos_s000_p05_d9.495917e-01_c125.nii"/>
    <s v="./GridMasks/Binarized/s000_Grid_CohD_Mask_bin.nii"/>
    <x v="0"/>
    <x v="2"/>
    <x v="4"/>
    <m/>
    <m/>
    <m/>
    <x v="0"/>
    <n v="5400"/>
    <n v="2028200"/>
    <n v="0"/>
    <n v="2033600"/>
    <n v="0"/>
    <n v="0"/>
    <n v="5400"/>
    <n v="2028200"/>
    <s v=""/>
    <n v="0"/>
    <n v="1"/>
    <m/>
    <m/>
    <n v="1"/>
    <n v="0"/>
    <n v="0.99734461054287959"/>
    <n v="2.6553894571204051E-3"/>
    <m/>
    <n v="0"/>
    <n v="0.5"/>
    <n v="0.54285714285714282"/>
    <n v="0.32125000000000009"/>
    <m/>
    <m/>
    <n v="1"/>
    <m/>
    <n v="0"/>
    <n v="0"/>
    <n v="0"/>
    <n v="0"/>
    <m/>
  </r>
  <r>
    <s v="SPM_s150"/>
    <s v="spmT_Pos_s150_p05_d5.464776e-01_c01.nii"/>
    <s v="./GridMasks/Binarized/s000_Grid_CohD_Mask_bin.nii"/>
    <x v="1"/>
    <x v="0"/>
    <x v="0"/>
    <n v="10091"/>
    <n v="162240"/>
    <n v="6.2197978303747535E-2"/>
    <x v="0"/>
    <n v="5400"/>
    <n v="2028200"/>
    <n v="105110"/>
    <n v="1928490"/>
    <n v="4444"/>
    <n v="100666"/>
    <n v="956"/>
    <n v="1927534"/>
    <s v=""/>
    <n v="4.9633172270979194E-2"/>
    <n v="0.95036682772902081"/>
    <n v="0.95772048330320614"/>
    <n v="4.2279516696793862E-2"/>
    <n v="0.17703703703703705"/>
    <n v="0.8229629629629629"/>
    <n v="0.99950427536570063"/>
    <n v="4.9572463429936597E-4"/>
    <n v="3.5669095674658626"/>
    <n v="0.86594243291245776"/>
    <n v="0.88666489534599191"/>
    <n v="0.89212506097882294"/>
    <n v="2.6371611531059115E-4"/>
    <n v="8.0427110668717813E-2"/>
    <n v="16.580905980981477"/>
    <n v="0.18628284560403008"/>
    <n v="89.009301566213367"/>
    <n v="0.18653277549384059"/>
    <n v="0.17975720060683589"/>
    <n v="4.189844059359267E-2"/>
    <n v="0.77332979069198382"/>
    <n v="4.9304802287742831E-7"/>
  </r>
  <r>
    <s v="SPM_s150"/>
    <s v="spmT_Pos_s150_p05_d5.464776e-01_c08.nii"/>
    <s v="./GridMasks/Binarized/s000_Grid_CohD_Mask_bin.nii"/>
    <x v="1"/>
    <x v="0"/>
    <x v="1"/>
    <n v="8197"/>
    <n v="162240"/>
    <n v="5.0523915187376728E-2"/>
    <x v="0"/>
    <n v="5400"/>
    <n v="2028200"/>
    <n v="71702"/>
    <n v="1961898"/>
    <n v="4430"/>
    <n v="67272"/>
    <n v="970"/>
    <n v="1960928"/>
    <s v=""/>
    <n v="3.3168326595010351E-2"/>
    <n v="0.96683167340498966"/>
    <n v="0.93821650721039862"/>
    <n v="6.178349278960138E-2"/>
    <n v="0.17962962962962964"/>
    <n v="0.82037037037037042"/>
    <n v="0.99950558082020569"/>
    <n v="4.9441917979431427E-4"/>
    <n v="5.4156976872222451"/>
    <n v="0.84851416532640933"/>
    <n v="0.89360102188767998"/>
    <n v="0.89987793487487799"/>
    <n v="3.4912860931915035E-4"/>
    <n v="0.11491271302949335"/>
    <n v="24.733547169478914"/>
    <n v="0.18579204071481198"/>
    <n v="133.12490176823312"/>
    <n v="0.22513406419860232"/>
    <n v="0.21965173344806227"/>
    <n v="6.095882870981946E-2"/>
    <n v="0.78720204377535996"/>
    <n v="4.930480228774282E-7"/>
  </r>
  <r>
    <s v="SPM_s150"/>
    <s v="spmT_Pos_s150_p05_d5.464776e-01_c27.nii"/>
    <s v="./GridMasks/Binarized/s000_Grid_CohD_Mask_bin.nii"/>
    <x v="1"/>
    <x v="0"/>
    <x v="2"/>
    <n v="5772"/>
    <n v="162240"/>
    <n v="3.5576923076923075E-2"/>
    <x v="0"/>
    <n v="5400"/>
    <n v="2028200"/>
    <n v="32759"/>
    <n v="2000841"/>
    <n v="4319"/>
    <n v="28440"/>
    <n v="1081"/>
    <n v="1999760"/>
    <s v=""/>
    <n v="1.4022285770634059E-2"/>
    <n v="0.98597771422936598"/>
    <n v="0.86815836869257301"/>
    <n v="0.13184163130742699"/>
    <n v="0.20018518518518519"/>
    <n v="0.79981481481481476"/>
    <n v="0.99945972718471887"/>
    <n v="5.4027281528112869E-4"/>
    <n v="14.276216335885817"/>
    <n v="0.81118954644927754"/>
    <n v="0.89289626452209037"/>
    <n v="0.90087467449699965"/>
    <n v="6.4721510736136917E-4"/>
    <n v="0.22636861552975709"/>
    <n v="57.038832890555817"/>
    <n v="0.20303216015551495"/>
    <n v="280.9349654107321"/>
    <n v="0.32472894840009692"/>
    <n v="0.32120963023620558"/>
    <n v="0.12763002364066195"/>
    <n v="0.78579252904418073"/>
    <n v="4.930480228774282E-7"/>
  </r>
  <r>
    <s v="SPM_s150"/>
    <s v="spmT_Pos_s150_p05_d5.464776e-01_c64.nii"/>
    <s v="./GridMasks/Binarized/s000_Grid_CohD_Mask_bin.nii"/>
    <x v="1"/>
    <x v="0"/>
    <x v="3"/>
    <n v="4442"/>
    <n v="162240"/>
    <n v="2.7379191321499012E-2"/>
    <x v="0"/>
    <n v="5400"/>
    <n v="2028200"/>
    <n v="13435"/>
    <n v="2020165"/>
    <n v="3975"/>
    <n v="9460"/>
    <n v="1425"/>
    <n v="2018740"/>
    <s v=""/>
    <n v="4.6642342964204712E-3"/>
    <n v="0.99533576570357951"/>
    <n v="0.70413100111648674"/>
    <n v="0.29586899888351326"/>
    <n v="0.2638888888888889"/>
    <n v="0.73611111111111116"/>
    <n v="0.99929461207376624"/>
    <n v="7.0538792623375812E-4"/>
    <n v="56.577108292224572"/>
    <n v="0.7395605950026034"/>
    <n v="0.86572343840734534"/>
    <n v="0.87683306646130821"/>
    <n v="3.0685608876933248E-3"/>
    <n v="0.42208654101406962"/>
    <n v="157.82035470988961"/>
    <n v="0.26512549632168803"/>
    <n v="595.26660732168693"/>
    <n v="0.46668239468773093"/>
    <n v="0.46464664142125089"/>
    <n v="0.26749663526244954"/>
    <n v="0.73144687681469067"/>
    <n v="4.930480228774282E-7"/>
  </r>
  <r>
    <s v="SPM_s150"/>
    <s v="spmT_Pos_s150_p05_d5.464776e-01_c125.nii"/>
    <s v="./GridMasks/Binarized/s000_Grid_CohD_Mask_bin.nii"/>
    <x v="1"/>
    <x v="0"/>
    <x v="4"/>
    <n v="3199"/>
    <n v="162240"/>
    <n v="1.9717702169625248E-2"/>
    <x v="0"/>
    <n v="5400"/>
    <n v="2028200"/>
    <n v="7294"/>
    <n v="2026306"/>
    <n v="3308"/>
    <n v="3986"/>
    <n v="2092"/>
    <n v="2024214"/>
    <s v=""/>
    <n v="1.9652894191894291E-3"/>
    <n v="0.99803471058081061"/>
    <n v="0.54647655607348511"/>
    <n v="0.45352344392651489"/>
    <n v="0.38740740740740742"/>
    <n v="0.61259259259259258"/>
    <n v="0.99896757942778636"/>
    <n v="1.0324205722136437E-3"/>
    <n v="197.12486294623776"/>
    <n v="0.61379888504688551"/>
    <n v="0.80531365158670165"/>
    <n v="0.82183259950048237"/>
    <n v="1.8714434885874123E-2"/>
    <n v="0.5211911139120845"/>
    <n v="311.7060452323874"/>
    <n v="0.38817027434041246"/>
    <n v="803.01369228245312"/>
    <n v="0.52709117078211909"/>
    <n v="0.52564567276922425"/>
    <n v="0.35243980396334967"/>
    <n v="0.6106273031734033"/>
    <n v="4.9304802287742831E-7"/>
  </r>
  <r>
    <s v="SPM_s150"/>
    <s v="spmT_Pos_s150_p05_d8.061161e-01_c01.nii"/>
    <s v="./GridMasks/Binarized/s000_Grid_CohD_Mask_bin.nii"/>
    <x v="1"/>
    <x v="1"/>
    <x v="0"/>
    <n v="2406"/>
    <n v="162240"/>
    <n v="1.4829881656804733E-2"/>
    <x v="0"/>
    <n v="5400"/>
    <n v="2028200"/>
    <n v="25206"/>
    <n v="2008394"/>
    <n v="2289"/>
    <n v="22917"/>
    <n v="3111"/>
    <n v="2005283"/>
    <s v=""/>
    <n v="1.1299181540282024E-2"/>
    <n v="0.98870081845971802"/>
    <n v="0.90918828850273747"/>
    <n v="9.0811711497262526E-2"/>
    <n v="0.57611111111111113"/>
    <n v="0.42388888888888887"/>
    <n v="0.99845100114818108"/>
    <n v="1.5489988518189168E-3"/>
    <n v="50.986977159120109"/>
    <n v="0.42873322341257786"/>
    <n v="0.70629485367430345"/>
    <n v="0.73050107922733898"/>
    <n v="7.1478660625343332E-2"/>
    <n v="0.1495785140168594"/>
    <n v="37.515008266546424"/>
    <n v="0.5826950887009742"/>
    <n v="64.381885129974506"/>
    <n v="0.19619907105965856"/>
    <n v="0.19190851072197493"/>
    <n v="8.0834834198537986E-2"/>
    <n v="0.41258970734860689"/>
    <n v="4.9304802287742831E-7"/>
  </r>
  <r>
    <s v="SPM_s150"/>
    <s v="spmT_Pos_s150_p05_d8.061161e-01_c08.nii"/>
    <s v="./GridMasks/Binarized/s000_Grid_CohD_Mask_bin.nii"/>
    <x v="1"/>
    <x v="1"/>
    <x v="1"/>
    <n v="1009"/>
    <n v="162240"/>
    <n v="6.2191814595660751E-3"/>
    <x v="0"/>
    <n v="5400"/>
    <n v="2028200"/>
    <n v="6481"/>
    <n v="2027119"/>
    <n v="2235"/>
    <n v="4246"/>
    <n v="3165"/>
    <n v="2023954"/>
    <s v=""/>
    <n v="2.0934819051375603E-3"/>
    <n v="0.99790651809486242"/>
    <n v="0.65514581083166179"/>
    <n v="0.34485418916833821"/>
    <n v="0.58611111111111114"/>
    <n v="0.41388888888888886"/>
    <n v="0.99843867084270832"/>
    <n v="1.5613291572916799E-3"/>
    <n v="279.96951379075733"/>
    <n v="0.41475717553088876"/>
    <n v="0.70589770349187564"/>
    <n v="0.73092703045784602"/>
    <n v="7.568841229971511E-2"/>
    <n v="0.3762309569901523"/>
    <n v="197.70359030721724"/>
    <n v="0.587340698235017"/>
    <n v="336.60802137724266"/>
    <n v="0.37779798462083169"/>
    <n v="0.37598726441578423"/>
    <n v="0.23170226000414679"/>
    <n v="0.41179540698375128"/>
    <n v="4.930480228774282E-7"/>
  </r>
  <r>
    <s v="SPM_s150"/>
    <s v="spmT_Pos_s150_p05_d8.061161e-01_c27.nii"/>
    <s v="./GridMasks/Binarized/s000_Grid_CohD_Mask_bin.nii"/>
    <x v="1"/>
    <x v="1"/>
    <x v="2"/>
    <n v="697"/>
    <n v="162240"/>
    <n v="4.296104536489152E-3"/>
    <x v="0"/>
    <n v="5400"/>
    <n v="2028200"/>
    <n v="2685"/>
    <n v="2030915"/>
    <n v="1988"/>
    <n v="697"/>
    <n v="3412"/>
    <n v="2027503"/>
    <s v=""/>
    <n v="3.4365447194556752E-4"/>
    <n v="0.99965634552805438"/>
    <n v="0.2595903165735568"/>
    <n v="0.7404096834264432"/>
    <n v="0.63185185185185189"/>
    <n v="0.36814814814814811"/>
    <n v="0.99831996907797715"/>
    <n v="1.680030922022846E-3"/>
    <n v="1838.6254317445134"/>
    <n v="0.36827470739824997"/>
    <n v="0.6839022468381013"/>
    <n v="0.71096688386866869"/>
    <n v="9.44808872995377E-2"/>
    <n v="0.49177489177489181"/>
    <n v="1071.2741378394173"/>
    <n v="0.63206906521269068"/>
    <n v="1694.8687996286205"/>
    <n v="0.52209238054620344"/>
    <n v="0.52125625732741598"/>
    <n v="0.32606199770378874"/>
    <n v="0.3678044936762026"/>
    <n v="4.9304802287742831E-7"/>
  </r>
  <r>
    <s v="SPM_s150"/>
    <s v="spmT_Pos_s150_p05_d8.061161e-01_c64.nii"/>
    <s v="./GridMasks/Binarized/s000_Grid_CohD_Mask_bin.nii"/>
    <x v="1"/>
    <x v="1"/>
    <x v="3"/>
    <n v="472"/>
    <n v="162240"/>
    <n v="2.9092702169625246E-3"/>
    <x v="0"/>
    <n v="5400"/>
    <n v="2028200"/>
    <n v="1998"/>
    <n v="2031602"/>
    <n v="1526"/>
    <n v="472"/>
    <n v="3874"/>
    <n v="2027728"/>
    <s v=""/>
    <n v="2.3271866679814613E-4"/>
    <n v="0.99976728133320181"/>
    <n v="0.23623623623623624"/>
    <n v="0.76376376376376376"/>
    <n v="0.71740740740740738"/>
    <n v="0.28259259259259262"/>
    <n v="0.99809313044582548"/>
    <n v="1.9068695541745173E-3"/>
    <n v="3082.723948524796"/>
    <n v="0.28265837247219372"/>
    <n v="0.64117993696289721"/>
    <n v="0.67191599505178046"/>
    <n v="0.13509360376567647"/>
    <n v="0.41254393079210605"/>
    <n v="1214.3099497802889"/>
    <n v="0.71757440036518894"/>
    <n v="1692.242573261115"/>
    <n v="0.46457936042217635"/>
    <n v="0.46380795228037752"/>
    <n v="0.25987738419618528"/>
    <n v="0.28235987392579442"/>
    <n v="4.930480228774282E-7"/>
  </r>
  <r>
    <s v="SPM_s150"/>
    <s v="spmT_Pos_s150_p05_d8.061161e-01_c125.nii"/>
    <s v="./GridMasks/Binarized/s000_Grid_CohD_Mask_bin.nii"/>
    <x v="1"/>
    <x v="1"/>
    <x v="4"/>
    <n v="176"/>
    <n v="162240"/>
    <n v="1.0848126232741618E-3"/>
    <x v="0"/>
    <n v="5400"/>
    <n v="2028200"/>
    <n v="955"/>
    <n v="2032645"/>
    <n v="779"/>
    <n v="176"/>
    <n v="4621"/>
    <n v="2028024"/>
    <s v=""/>
    <n v="8.6776452026427367E-5"/>
    <n v="0.99991322354797352"/>
    <n v="0.18429319371727748"/>
    <n v="0.81570680628272252"/>
    <n v="0.85574074074074069"/>
    <n v="0.14425925925925931"/>
    <n v="0.99772660744989905"/>
    <n v="2.27339255010095E-3"/>
    <n v="9861.4396043771048"/>
    <n v="0.14427177865233831"/>
    <n v="0.57208624140361641"/>
    <n v="0.60875712558741846"/>
    <n v="0.21624362447608267"/>
    <n v="0.24516129032258072"/>
    <n v="1662.4240319865328"/>
    <n v="0.85581500533049426"/>
    <n v="1942.5039542798695"/>
    <n v="0.3430353620941749"/>
    <n v="0.34245396019931662"/>
    <n v="0.13970588235294118"/>
    <n v="0.14417248280723283"/>
    <n v="4.930480228774282E-7"/>
  </r>
  <r>
    <s v="SPM_s150"/>
    <s v="spmT_Pos_s150_p05_d9.495917e-01_c01.nii"/>
    <s v="./GridMasks/Binarized/s000_Grid_CohD_Mask_bin.nii"/>
    <x v="1"/>
    <x v="2"/>
    <x v="0"/>
    <n v="1072"/>
    <n v="162240"/>
    <n v="6.6074950690335303E-3"/>
    <x v="0"/>
    <n v="5400"/>
    <n v="2028200"/>
    <n v="10643"/>
    <n v="2022957"/>
    <n v="703"/>
    <n v="9940"/>
    <n v="4697"/>
    <n v="2018260"/>
    <s v=""/>
    <n v="4.9008973474016365E-3"/>
    <n v="0.99509910265259838"/>
    <n v="0.93394719533965986"/>
    <n v="6.6052804660340136E-2"/>
    <n v="0.86981481481481482"/>
    <n v="0.13018518518518518"/>
    <n v="0.99767815133984561"/>
    <n v="2.3218486601543908E-3"/>
    <n v="177.48072509128849"/>
    <n v="0.13082635170522755"/>
    <n v="0.56264214391889178"/>
    <n v="0.59970988323892371"/>
    <n v="0.22534290760273717"/>
    <n v="8.7639468927258005E-2"/>
    <n v="26.563540502272897"/>
    <n v="0.87409868273037539"/>
    <n v="30.389635663673332"/>
    <n v="9.2731314056834352E-2"/>
    <n v="8.9355959150491965E-2"/>
    <n v="4.5827900912646678E-2"/>
    <n v="0.12528428783778356"/>
    <n v="4.930480228774282E-7"/>
  </r>
  <r>
    <s v="SPM_s150"/>
    <s v="spmT_Pos_s150_p05_d9.495917e-01_c08.nii"/>
    <s v="./GridMasks/Binarized/s000_Grid_CohD_Mask_bin.nii"/>
    <x v="1"/>
    <x v="2"/>
    <x v="1"/>
    <n v="258"/>
    <n v="162240"/>
    <n v="1.5902366863905326E-3"/>
    <x v="0"/>
    <n v="5400"/>
    <n v="2028200"/>
    <n v="1368"/>
    <n v="2032232"/>
    <n v="650"/>
    <n v="718"/>
    <n v="4750"/>
    <n v="2027482"/>
    <s v=""/>
    <n v="3.5400848042599348E-4"/>
    <n v="0.99964599151957401"/>
    <n v="0.52485380116959068"/>
    <n v="0.47514619883040932"/>
    <n v="0.87962962962962965"/>
    <n v="0.12037037037037035"/>
    <n v="0.99766266843549356"/>
    <n v="2.3373315645064396E-3"/>
    <n v="2484.7699370679875"/>
    <n v="0.12041299759267167"/>
    <n v="0.56000818094497218"/>
    <n v="0.59769142185136659"/>
    <n v="0.23218057897223462"/>
    <n v="0.19208037825059099"/>
    <n v="340.02114928298766"/>
    <n v="0.87994113625413928"/>
    <n v="386.413517079607"/>
    <n v="0.23915167558118844"/>
    <n v="0.23821167082777298"/>
    <n v="0.10624387054593004"/>
    <n v="0.12001636188994436"/>
    <n v="4.930480228774282E-7"/>
  </r>
  <r>
    <s v="SPM_s150"/>
    <s v="spmT_Pos_s150_p05_d9.495917e-01_c27.nii"/>
    <s v="./GridMasks/Binarized/s000_Grid_CohD_Mask_bin.nii"/>
    <x v="1"/>
    <x v="2"/>
    <x v="2"/>
    <n v="150"/>
    <n v="162240"/>
    <n v="9.2455621301775143E-4"/>
    <x v="0"/>
    <n v="5400"/>
    <n v="2028200"/>
    <n v="657"/>
    <n v="2032943"/>
    <n v="507"/>
    <n v="150"/>
    <n v="4893"/>
    <n v="2028050"/>
    <s v=""/>
    <n v="7.3957203431614243E-5"/>
    <n v="0.99992604279656838"/>
    <n v="0.22831050228310501"/>
    <n v="0.77168949771689499"/>
    <n v="0.90611111111111109"/>
    <n v="9.3888888888888911E-2"/>
    <n v="0.99759314452003822"/>
    <n v="2.4068554799617781E-3"/>
    <n v="12251.83037037037"/>
    <n v="9.3895833162123465E-2"/>
    <n v="0.54690746584272865"/>
    <n v="0.58573762958162923"/>
    <n v="0.25054275549194638"/>
    <n v="0.16740960871718677"/>
    <n v="1269.5029629629632"/>
    <n v="0.90617812951138066"/>
    <n v="1400.9419578990398"/>
    <n v="0.26917107851302313"/>
    <n v="0.26864511633057092"/>
    <n v="9.1351351351351348E-2"/>
    <n v="9.3814931685457292E-2"/>
    <n v="4.9304802287742831E-7"/>
  </r>
  <r>
    <s v="SPM_s150"/>
    <s v="spmT_Pos_s150_p05_d9.495917e-01_c64.nii"/>
    <s v="./GridMasks/Binarized/s000_Grid_CohD_Mask_bin.nii"/>
    <x v="1"/>
    <x v="2"/>
    <x v="3"/>
    <n v="41"/>
    <n v="162240"/>
    <n v="2.5271203155818542E-4"/>
    <x v="0"/>
    <n v="5400"/>
    <n v="2028200"/>
    <n v="207"/>
    <n v="2033393"/>
    <n v="166"/>
    <n v="41"/>
    <n v="5234"/>
    <n v="2028159"/>
    <s v=""/>
    <n v="2.021496893797456E-5"/>
    <n v="0.999979785031062"/>
    <n v="0.19806763285024154"/>
    <n v="0.80193236714975846"/>
    <n v="0.96925925925925926"/>
    <n v="3.0740740740740735E-2"/>
    <n v="0.99742597717214532"/>
    <n v="2.5740228278546828E-3"/>
    <n v="47947.600722673895"/>
    <n v="3.0741362176422243E-2"/>
    <n v="0.51536026288590131"/>
    <n v="0.55689907906977232"/>
    <n v="0.29712889343392773"/>
    <n v="5.9211699661137852E-2"/>
    <n v="1520.6919602529356"/>
    <n v="0.96927885320116902"/>
    <n v="1568.8900621638998"/>
    <n v="0.15700953789550251"/>
    <n v="0.15670580275677934"/>
    <n v="3.0509097592354345E-2"/>
    <n v="3.072052577180262E-2"/>
    <n v="4.9304802287742831E-7"/>
  </r>
  <r>
    <s v="SPM_s150"/>
    <s v="spmT_Pos_s150_p05_d9.495917e-01_c125.nii"/>
    <s v="./GridMasks/Binarized/s000_Grid_CohD_Mask_bin.nii"/>
    <x v="1"/>
    <x v="2"/>
    <x v="4"/>
    <n v="0"/>
    <n v="162240"/>
    <n v="0"/>
    <x v="0"/>
    <n v="5400"/>
    <n v="2028200"/>
    <n v="0"/>
    <n v="2033600"/>
    <n v="0"/>
    <n v="0"/>
    <n v="5400"/>
    <n v="2028200"/>
    <s v=""/>
    <n v="0"/>
    <n v="1"/>
    <m/>
    <m/>
    <n v="1"/>
    <n v="0"/>
    <n v="0.99734461054287959"/>
    <n v="2.6553894571204051E-3"/>
    <m/>
    <n v="0"/>
    <n v="0.5"/>
    <n v="0.54285714285714282"/>
    <n v="0.32125000000000009"/>
    <m/>
    <m/>
    <n v="1"/>
    <m/>
    <n v="0"/>
    <n v="0"/>
    <n v="0"/>
    <n v="0"/>
    <m/>
  </r>
  <r>
    <s v="SPM_s300"/>
    <s v="spmT_Pos_s300_p05_d5.464776e-01_c01.nii"/>
    <s v="./GridMasks/Binarized/s000_Grid_CohD_Mask_bin.nii"/>
    <x v="2"/>
    <x v="0"/>
    <x v="0"/>
    <n v="44722"/>
    <n v="820470"/>
    <n v="5.4507782124879639E-2"/>
    <x v="0"/>
    <n v="5400"/>
    <n v="2028200"/>
    <n v="100902"/>
    <n v="1932698"/>
    <n v="4434"/>
    <n v="96468"/>
    <n v="966"/>
    <n v="1931732"/>
    <s v=""/>
    <n v="4.7563356670939749E-2"/>
    <n v="0.95243664332906031"/>
    <n v="0.95605637152881018"/>
    <n v="4.3943628471189822E-2"/>
    <n v="0.17888888888888888"/>
    <n v="0.82111111111111112"/>
    <n v="0.99950018057658263"/>
    <n v="4.9981942341736918E-4"/>
    <n v="3.7610652697728204"/>
    <n v="0.86211625399152447"/>
    <n v="0.88677387722008572"/>
    <n v="0.89240211431514072"/>
    <n v="2.2580812152936603E-4"/>
    <n v="8.3422701360275353E-2"/>
    <n v="17.263523194795741"/>
    <n v="0.18782235032832939"/>
    <n v="91.914104815628377"/>
    <n v="0.18995420921957093"/>
    <n v="0.18331901410718962"/>
    <n v="4.3526917186947817E-2"/>
    <n v="0.77354775444017143"/>
    <n v="4.9304802287742831E-7"/>
  </r>
  <r>
    <s v="SPM_s300"/>
    <s v="spmT_Pos_s300_p05_d5.464776e-01_c08.nii"/>
    <s v="./GridMasks/Binarized/s000_Grid_CohD_Mask_bin.nii"/>
    <x v="2"/>
    <x v="0"/>
    <x v="1"/>
    <n v="42804"/>
    <n v="820470"/>
    <n v="5.2170097626969905E-2"/>
    <x v="0"/>
    <n v="5400"/>
    <n v="2028200"/>
    <n v="95337"/>
    <n v="1938263"/>
    <n v="4422"/>
    <n v="90915"/>
    <n v="978"/>
    <n v="1937285"/>
    <s v=""/>
    <n v="4.4825460999901388E-2"/>
    <n v="0.95517453900009863"/>
    <n v="0.95361716857043954"/>
    <n v="4.6382831429560456E-2"/>
    <n v="0.18111111111111111"/>
    <n v="0.81888888888888889"/>
    <n v="0.99949542451153428"/>
    <n v="5.0457548846571942E-4"/>
    <n v="4.0403624875494204"/>
    <n v="0.85731858990517373"/>
    <n v="0.88703171394449376"/>
    <n v="0.89287252752068846"/>
    <n v="1.9178298866016531E-4"/>
    <n v="8.7792965841746423E-2"/>
    <n v="18.268387443705048"/>
    <n v="0.18961048867644953"/>
    <n v="96.346924535794756"/>
    <n v="0.19489070088866065"/>
    <n v="0.18844808319357376"/>
    <n v="4.5911851736489644E-2"/>
    <n v="0.77406342788898752"/>
    <n v="4.930480228774282E-7"/>
  </r>
  <r>
    <s v="SPM_s300"/>
    <s v="spmT_Pos_s300_p05_d5.464776e-01_c27.nii"/>
    <s v="./GridMasks/Binarized/s000_Grid_CohD_Mask_bin.nii"/>
    <x v="2"/>
    <x v="0"/>
    <x v="2"/>
    <n v="36855"/>
    <n v="820470"/>
    <n v="4.4919375479907861E-2"/>
    <x v="0"/>
    <n v="5400"/>
    <n v="2028200"/>
    <n v="79237"/>
    <n v="1954363"/>
    <n v="4390"/>
    <n v="74847"/>
    <n v="1010"/>
    <n v="1953353"/>
    <s v=""/>
    <n v="3.6903165368306873E-2"/>
    <n v="0.96309683463169315"/>
    <n v="0.94459658997690477"/>
    <n v="5.5403410023095234E-2"/>
    <n v="0.18703703703703703"/>
    <n v="0.812962962962963"/>
    <n v="0.99948320757198128"/>
    <n v="5.1679242801871972E-4"/>
    <n v="5.0683196189362096"/>
    <n v="0.84411342009431045"/>
    <n v="0.88802989879732808"/>
    <n v="0.89446420758313094"/>
    <n v="1.6978274307453381E-4"/>
    <n v="0.10373713624065119"/>
    <n v="22.029626858544518"/>
    <n v="0.19420377091008051"/>
    <n v="113.43562874865387"/>
    <n v="0.21222846267790618"/>
    <n v="0.20638628186362187"/>
    <n v="5.4706094931897764E-2"/>
    <n v="0.77605979759465615"/>
    <n v="4.930480228774282E-7"/>
  </r>
  <r>
    <s v="SPM_s300"/>
    <s v="spmT_Pos_s300_p05_d5.464776e-01_c64.nii"/>
    <s v="./GridMasks/Binarized/s000_Grid_CohD_Mask_bin.nii"/>
    <x v="2"/>
    <x v="0"/>
    <x v="3"/>
    <n v="29498"/>
    <n v="820470"/>
    <n v="3.5952563774421978E-2"/>
    <x v="0"/>
    <n v="5400"/>
    <n v="2028200"/>
    <n v="58066"/>
    <n v="1975534"/>
    <n v="4324"/>
    <n v="53742"/>
    <n v="1076"/>
    <n v="1974458"/>
    <s v=""/>
    <n v="2.6497386845478751E-2"/>
    <n v="0.97350261315452125"/>
    <n v="0.92553301415630485"/>
    <n v="7.4466985843695155E-2"/>
    <n v="0.19925925925925925"/>
    <n v="0.80074074074074075"/>
    <n v="0.99945533713922408"/>
    <n v="5.4466286077592407E-4"/>
    <n v="7.5199588707087486"/>
    <n v="0.82253578975616115"/>
    <n v="0.887121676947631"/>
    <n v="0.89452575719393579"/>
    <n v="2.7646076096803513E-4"/>
    <n v="0.13626193552453289"/>
    <n v="30.219611670022893"/>
    <n v="0.2046828190975091"/>
    <n v="147.64117380866509"/>
    <n v="0.24418998629184349"/>
    <n v="0.23923600747802201"/>
    <n v="7.3112170707788041E-2"/>
    <n v="0.774243353895262"/>
    <n v="4.9304802287742831E-7"/>
  </r>
  <r>
    <s v="SPM_s300"/>
    <s v="spmT_Pos_s300_p05_d5.464776e-01_c125.nii"/>
    <s v="./GridMasks/Binarized/s000_Grid_CohD_Mask_bin.nii"/>
    <x v="2"/>
    <x v="0"/>
    <x v="4"/>
    <n v="22013"/>
    <n v="820470"/>
    <n v="2.6829743927261205E-2"/>
    <x v="0"/>
    <n v="5400"/>
    <n v="2028200"/>
    <n v="39829"/>
    <n v="1993771"/>
    <n v="4111"/>
    <n v="35718"/>
    <n v="1289"/>
    <n v="1992482"/>
    <s v=""/>
    <n v="1.7610689281135981E-2"/>
    <n v="0.98238931071886404"/>
    <n v="0.89678375053353088"/>
    <n v="0.10321624946646912"/>
    <n v="0.2387037037037037"/>
    <n v="0.76129629629629636"/>
    <n v="0.99935348643349708"/>
    <n v="6.4651356650291536E-4"/>
    <n v="13.554478186120496"/>
    <n v="0.77494358701767352"/>
    <n v="0.87184280350758026"/>
    <n v="0.88131821841140456"/>
    <n v="1.2735220646136051E-3"/>
    <n v="0.18178602224236656"/>
    <n v="43.229216309651953"/>
    <n v="0.24298279826460256"/>
    <n v="177.91060362460865"/>
    <n v="0.28031794169552815"/>
    <n v="0.27618768311449199"/>
    <n v="9.9980543800768526E-2"/>
    <n v="0.74368560701516051"/>
    <n v="4.930480228774282E-7"/>
  </r>
  <r>
    <s v="SPM_s300"/>
    <s v="spmT_Pos_s300_p05_d8.061161e-01_c01.nii"/>
    <s v="./GridMasks/Binarized/s000_Grid_CohD_Mask_bin.nii"/>
    <x v="2"/>
    <x v="1"/>
    <x v="0"/>
    <n v="10118"/>
    <n v="820470"/>
    <n v="1.2331956073957609E-2"/>
    <x v="0"/>
    <n v="5400"/>
    <n v="2028200"/>
    <n v="22633"/>
    <n v="2010967"/>
    <n v="2209"/>
    <n v="20424"/>
    <n v="3191"/>
    <n v="2007776"/>
    <s v=""/>
    <n v="1.0070012819248594E-2"/>
    <n v="0.98992998718075143"/>
    <n v="0.90239915168117346"/>
    <n v="9.7600848318826539E-2"/>
    <n v="0.59092592592592597"/>
    <n v="0.40907407407407403"/>
    <n v="0.99841320121115862"/>
    <n v="1.5867987888413815E-3"/>
    <n v="58.681745150948061"/>
    <n v="0.41323535944101181"/>
    <n v="0.69950203062741267"/>
    <n v="0.72439585547484164"/>
    <n v="7.7208741718648791E-2"/>
    <n v="0.15759997146220531"/>
    <n v="40.622994371182777"/>
    <n v="0.59693709007526885"/>
    <n v="68.052387842177055"/>
    <n v="0.19981485594136417"/>
    <n v="0.19572939406227682"/>
    <n v="8.554058240396531E-2"/>
    <n v="0.39900406125482535"/>
    <n v="4.930480228774282E-7"/>
  </r>
  <r>
    <s v="SPM_s300"/>
    <s v="spmT_Pos_s300_p05_d8.061161e-01_c08.nii"/>
    <s v="./GridMasks/Binarized/s000_Grid_CohD_Mask_bin.nii"/>
    <x v="2"/>
    <x v="1"/>
    <x v="1"/>
    <n v="8158"/>
    <n v="820470"/>
    <n v="9.943081404560801E-3"/>
    <x v="0"/>
    <n v="5400"/>
    <n v="2028200"/>
    <n v="17842"/>
    <n v="2015758"/>
    <n v="2196"/>
    <n v="15646"/>
    <n v="3204"/>
    <n v="2012554"/>
    <s v=""/>
    <n v="7.7142293659402429E-3"/>
    <n v="0.99228577063405976"/>
    <n v="0.87691962784441202"/>
    <n v="0.12308037215558798"/>
    <n v="0.59333333333333338"/>
    <n v="0.40666666666666662"/>
    <n v="0.99841052348545811"/>
    <n v="1.5894765145418877E-3"/>
    <n v="76.914142059738381"/>
    <n v="0.40982817521086801"/>
    <n v="0.69947621865036314"/>
    <n v="0.72457418024896569"/>
    <n v="7.824959875461375E-2"/>
    <n v="0.18896824713880048"/>
    <n v="52.716434445438658"/>
    <n v="0.59794602612733216"/>
    <n v="88.162529964222443"/>
    <n v="0.22372457325158934"/>
    <n v="0.22015696429103382"/>
    <n v="0.10434286800342107"/>
    <n v="0.39895243730072627"/>
    <n v="4.9304802287742831E-7"/>
  </r>
  <r>
    <s v="SPM_s300"/>
    <s v="spmT_Pos_s300_p05_d8.061161e-01_c27.nii"/>
    <s v="./GridMasks/Binarized/s000_Grid_CohD_Mask_bin.nii"/>
    <x v="2"/>
    <x v="1"/>
    <x v="2"/>
    <n v="4718"/>
    <n v="820470"/>
    <n v="5.7503625970480336E-3"/>
    <x v="0"/>
    <n v="5400"/>
    <n v="2028200"/>
    <n v="9550"/>
    <n v="2024050"/>
    <n v="2147"/>
    <n v="7403"/>
    <n v="3253"/>
    <n v="2020797"/>
    <s v=""/>
    <n v="3.6500345133616014E-3"/>
    <n v="0.99634996548663834"/>
    <n v="0.77518324607329847"/>
    <n v="0.22481675392670153"/>
    <n v="0.60240740740740739"/>
    <n v="0.39759259259259261"/>
    <n v="0.99839282626417336"/>
    <n v="1.6071737358266391E-3"/>
    <n v="165.04156473101494"/>
    <n v="0.39904913571046291"/>
    <n v="0.69697127903961542"/>
    <n v="0.72263230930650313"/>
    <n v="8.2040020418481879E-2"/>
    <n v="0.28722408026755852"/>
    <n v="108.92844742621861"/>
    <n v="0.60461427036149784"/>
    <n v="180.1618862900647"/>
    <n v="0.29897403909364467"/>
    <n v="0.29653288689146179"/>
    <n v="0.16769507146762477"/>
    <n v="0.39394255807923084"/>
    <n v="4.9304802287742831E-7"/>
  </r>
  <r>
    <s v="SPM_s300"/>
    <s v="spmT_Pos_s300_p05_d8.061161e-01_c64.nii"/>
    <s v="./GridMasks/Binarized/s000_Grid_CohD_Mask_bin.nii"/>
    <x v="2"/>
    <x v="1"/>
    <x v="3"/>
    <n v="2784"/>
    <n v="820470"/>
    <n v="3.3931770814289372E-3"/>
    <x v="0"/>
    <n v="5400"/>
    <n v="2028200"/>
    <n v="5234"/>
    <n v="2028366"/>
    <n v="1892"/>
    <n v="3342"/>
    <n v="3508"/>
    <n v="2024858"/>
    <s v=""/>
    <n v="1.6477664924563653E-3"/>
    <n v="0.99835223350754365"/>
    <n v="0.63851738632021393"/>
    <n v="0.36148261367978607"/>
    <n v="0.64962962962962967"/>
    <n v="0.35037037037037033"/>
    <n v="0.99827052908597369"/>
    <n v="1.7294709140263098E-3"/>
    <n v="394.24859808941198"/>
    <n v="0.35094865179937806"/>
    <n v="0.67436130193895694"/>
    <n v="0.70213195321626443"/>
    <n v="0.10225237116302301"/>
    <n v="0.35583975926274214"/>
    <n v="212.63350843362809"/>
    <n v="0.65070183430878359"/>
    <n v="326.77564012018007"/>
    <n v="0.35588312300169017"/>
    <n v="0.35419493601481467"/>
    <n v="0.21642644703729125"/>
    <n v="0.34872260387791387"/>
    <n v="4.9304802287742831E-7"/>
  </r>
  <r>
    <s v="SPM_s300"/>
    <s v="spmT_Pos_s300_p05_d8.061161e-01_c125.nii"/>
    <s v="./GridMasks/Binarized/s000_Grid_CohD_Mask_bin.nii"/>
    <x v="2"/>
    <x v="1"/>
    <x v="4"/>
    <n v="1822"/>
    <n v="820470"/>
    <n v="2.2206783916535644E-3"/>
    <x v="0"/>
    <n v="5400"/>
    <n v="2028200"/>
    <n v="3491"/>
    <n v="2030109"/>
    <n v="1605"/>
    <n v="1886"/>
    <n v="3795"/>
    <n v="2026314"/>
    <s v=""/>
    <n v="9.2988857114682973E-4"/>
    <n v="0.99907011142885316"/>
    <n v="0.5402463477513606"/>
    <n v="0.4597536522486394"/>
    <n v="0.70277777777777772"/>
    <n v="0.29722222222222228"/>
    <n v="0.99813064224630299"/>
    <n v="1.8693577536970096E-3"/>
    <n v="755.76558265582651"/>
    <n v="0.297498863014869"/>
    <n v="0.64814616682553772"/>
    <n v="0.67822536207725037"/>
    <n v="0.12759668483140027"/>
    <n v="0.36103925317737046"/>
    <n v="319.63208436432194"/>
    <n v="0.70343189105384896"/>
    <n v="454.38952715871898"/>
    <n v="0.36966065816654525"/>
    <n v="0.36833083791352955"/>
    <n v="0.22028547900082349"/>
    <n v="0.29629233365107543"/>
    <n v="4.9304802287742831E-7"/>
  </r>
  <r>
    <s v="SPM_s300"/>
    <s v="spmT_Pos_s300_p05_d9.495917e-01_c01.nii"/>
    <s v="./GridMasks/Binarized/s000_Grid_CohD_Mask_bin.nii"/>
    <x v="2"/>
    <x v="2"/>
    <x v="0"/>
    <n v="4044"/>
    <n v="820470"/>
    <n v="4.9288822260411718E-3"/>
    <x v="0"/>
    <n v="5400"/>
    <n v="2028200"/>
    <n v="8745"/>
    <n v="2024855"/>
    <n v="642"/>
    <n v="8103"/>
    <n v="4758"/>
    <n v="2020097"/>
    <s v=""/>
    <n v="3.9951681293758012E-3"/>
    <n v="0.99600483187062416"/>
    <n v="0.92658662092624355"/>
    <n v="7.3413379073756446E-2"/>
    <n v="0.88111111111111107"/>
    <n v="0.11888888888888893"/>
    <n v="0.99765020211323774"/>
    <n v="2.3497978867622615E-3"/>
    <n v="220.54418802364006"/>
    <n v="0.11936577522982537"/>
    <n v="0.55744686037975655"/>
    <n v="0.59503754365040229"/>
    <n v="0.23301439511722838"/>
    <n v="9.07741251325557E-2"/>
    <n v="29.758169128032154"/>
    <n v="0.88464541829206988"/>
    <n v="33.638527383643051"/>
    <n v="9.342395339342964E-2"/>
    <n v="9.0359057393653117E-2"/>
    <n v="4.7544990002221725E-2"/>
    <n v="0.1148937207595131"/>
    <n v="4.9304802287742831E-7"/>
  </r>
  <r>
    <s v="SPM_s300"/>
    <s v="spmT_Pos_s300_p05_d9.495917e-01_c08.nii"/>
    <s v="./GridMasks/Binarized/s000_Grid_CohD_Mask_bin.nii"/>
    <x v="2"/>
    <x v="2"/>
    <x v="1"/>
    <n v="2685"/>
    <n v="820470"/>
    <n v="3.2725145343522615E-3"/>
    <x v="0"/>
    <n v="5400"/>
    <n v="2028200"/>
    <n v="5561"/>
    <n v="2028039"/>
    <n v="629"/>
    <n v="4932"/>
    <n v="4771"/>
    <n v="2023268"/>
    <s v=""/>
    <n v="2.4317128488314764E-3"/>
    <n v="0.99756828715116852"/>
    <n v="0.88689084696996945"/>
    <n v="0.11310915303003055"/>
    <n v="0.88351851851851848"/>
    <n v="0.11648148148148152"/>
    <n v="0.99764748113818325"/>
    <n v="2.3525188618167547E-3"/>
    <n v="363.33176384007686"/>
    <n v="0.11676542145713807"/>
    <n v="0.55702488431632502"/>
    <n v="0.59478574741645451"/>
    <n v="0.23473015355012319"/>
    <n v="0.11477055013228721"/>
    <n v="47.901001772250773"/>
    <n v="0.8856722190333951"/>
    <n v="54.08434491095246"/>
    <n v="0.11478293302601028"/>
    <n v="0.11239114067138854"/>
    <n v="6.0878823073945022E-2"/>
    <n v="0.11404976863265004"/>
    <n v="4.9304802287742831E-7"/>
  </r>
  <r>
    <s v="SPM_s300"/>
    <s v="spmT_Pos_s300_p05_d9.495917e-01_c27.nii"/>
    <s v="./GridMasks/Binarized/s000_Grid_CohD_Mask_bin.nii"/>
    <x v="2"/>
    <x v="2"/>
    <x v="2"/>
    <n v="1041"/>
    <n v="820470"/>
    <n v="1.268784964715346E-3"/>
    <x v="0"/>
    <n v="5400"/>
    <n v="2028200"/>
    <n v="1978"/>
    <n v="2031622"/>
    <n v="557"/>
    <n v="1421"/>
    <n v="4843"/>
    <n v="2026779"/>
    <s v=""/>
    <n v="7.0062124050882554E-4"/>
    <n v="0.99929937875949115"/>
    <n v="0.71840242669362997"/>
    <n v="0.28159757330637003"/>
    <n v="0.8968518518518519"/>
    <n v="0.1031481481481481"/>
    <n v="0.99761619041337413"/>
    <n v="2.3838095866258735E-3"/>
    <n v="1280.0808767951626"/>
    <n v="0.10322046659950294"/>
    <n v="0.55122376345381963"/>
    <n v="0.58963024476573433"/>
    <n v="0.24401646608771357"/>
    <n v="0.15098942802927617"/>
    <n v="147.22383819428148"/>
    <n v="0.89748064585528375"/>
    <n v="164.041240191848"/>
    <n v="0.17042965765841475"/>
    <n v="0.16912941663608291"/>
    <n v="8.1659580706641255E-2"/>
    <n v="0.10244752690763925"/>
    <n v="4.930480228774282E-7"/>
  </r>
  <r>
    <s v="SPM_s300"/>
    <s v="spmT_Pos_s300_p05_d9.495917e-01_c64.nii"/>
    <s v="./GridMasks/Binarized/s000_Grid_CohD_Mask_bin.nii"/>
    <x v="2"/>
    <x v="2"/>
    <x v="3"/>
    <n v="510"/>
    <n v="820470"/>
    <n v="6.2159493948590438E-4"/>
    <x v="0"/>
    <n v="5400"/>
    <n v="2028200"/>
    <n v="937"/>
    <n v="2032663"/>
    <n v="427"/>
    <n v="510"/>
    <n v="4973"/>
    <n v="2027690"/>
    <s v=""/>
    <n v="2.5145449166748843E-4"/>
    <n v="0.99974854550833248"/>
    <n v="0.54429028815368197"/>
    <n v="0.45570971184631803"/>
    <n v="0.92092592592592593"/>
    <n v="7.9074074074074074E-2"/>
    <n v="0.997553455737621"/>
    <n v="2.4465442623790024E-3"/>
    <n v="3662.3960058097309"/>
    <n v="7.9093962606235191E-2"/>
    <n v="0.53941130979120322"/>
    <n v="0.57886878713838574"/>
    <n v="0.26110455422617412"/>
    <n v="0.13476408395139658"/>
    <n v="314.46673928830791"/>
    <n v="0.92115755513069697"/>
    <n v="341.38214199816264"/>
    <n v="0.18982840543714924"/>
    <n v="0.18901690461222095"/>
    <n v="7.2250423011844325E-2"/>
    <n v="7.8822619582406439E-2"/>
    <n v="4.9304802287742831E-7"/>
  </r>
  <r>
    <s v="SPM_s300"/>
    <s v="spmT_Pos_s300_p05_d9.495917e-01_c125.nii"/>
    <s v="./GridMasks/Binarized/s000_Grid_CohD_Mask_bin.nii"/>
    <x v="2"/>
    <x v="2"/>
    <x v="4"/>
    <n v="0"/>
    <n v="820470"/>
    <n v="0"/>
    <x v="0"/>
    <n v="5400"/>
    <n v="2028200"/>
    <n v="0"/>
    <n v="2033600"/>
    <n v="0"/>
    <n v="0"/>
    <n v="5400"/>
    <n v="2028200"/>
    <s v=""/>
    <n v="0"/>
    <n v="1"/>
    <m/>
    <m/>
    <n v="1"/>
    <n v="0"/>
    <n v="0.99734461054287959"/>
    <n v="2.6553894571204051E-3"/>
    <m/>
    <n v="0"/>
    <n v="0.5"/>
    <n v="0.54285714285714282"/>
    <n v="0.32125000000000009"/>
    <m/>
    <m/>
    <n v="1"/>
    <m/>
    <n v="0"/>
    <n v="0"/>
    <n v="0"/>
    <n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59A6EC-2322-4A0B-A9F4-56C28231A7D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22" firstHeaderRow="0" firstDataRow="1" firstDataCol="1" rowPageCount="1" colPageCount="1"/>
  <pivotFields count="41">
    <pivotField showAll="0"/>
    <pivotField showAll="0"/>
    <pivotField showAll="0"/>
    <pivotField axis="axisPage" multipleItemSelectionAllowed="1" showAll="0">
      <items count="4">
        <item h="1" x="0"/>
        <item x="1"/>
        <item h="1" x="2"/>
        <item t="default"/>
      </items>
    </pivotField>
    <pivotField axis="axisRow" numFmtId="165" showAll="0">
      <items count="4">
        <item x="0"/>
        <item x="1"/>
        <item x="2"/>
        <item t="default"/>
      </items>
    </pivotField>
    <pivotField axis="axisRow" showAll="0">
      <items count="6">
        <item x="0"/>
        <item x="1"/>
        <item x="2"/>
        <item x="3"/>
        <item x="4"/>
        <item t="default"/>
      </items>
    </pivotField>
    <pivotField showAll="0"/>
    <pivotField showAll="0"/>
    <pivotField showAll="0"/>
    <pivotField showAll="0">
      <items count="2">
        <item x="0"/>
        <item t="default"/>
      </items>
    </pivotField>
    <pivotField showAll="0"/>
    <pivotField showAll="0"/>
    <pivotField dataField="1" showAll="0"/>
    <pivotField showAll="0"/>
    <pivotField showAll="0"/>
    <pivotField showAll="0"/>
    <pivotField showAll="0"/>
    <pivotField showAll="0"/>
    <pivotField showAll="0"/>
    <pivotField dataField="1" numFmtId="164" showAll="0"/>
    <pivotField numFmtId="164" showAll="0"/>
    <pivotField showAll="0"/>
    <pivotField showAll="0"/>
    <pivotField dataField="1" numFmtId="164" showAll="0"/>
    <pivotField numFmtId="164" showAll="0"/>
    <pivotField numFmtId="164" showAll="0"/>
    <pivotField numFmtId="164" showAll="0"/>
    <pivotField showAll="0"/>
    <pivotField numFmtId="164" showAll="0"/>
    <pivotField dataField="1" numFmtId="164" showAll="0"/>
    <pivotField numFmtId="164" showAll="0"/>
    <pivotField numFmtId="164" showAll="0"/>
    <pivotField showAll="0"/>
    <pivotField showAll="0"/>
    <pivotField numFmtId="164" showAll="0"/>
    <pivotField showAll="0"/>
    <pivotField numFmtId="164" showAll="0"/>
    <pivotField numFmtId="164" showAll="0"/>
    <pivotField numFmtId="164" showAll="0"/>
    <pivotField dataField="1" numFmtId="164" showAll="0"/>
    <pivotField showAll="0"/>
  </pivotFields>
  <rowFields count="2">
    <field x="4"/>
    <field x="5"/>
  </rowFields>
  <rowItems count="19">
    <i>
      <x/>
    </i>
    <i r="1">
      <x/>
    </i>
    <i r="1">
      <x v="1"/>
    </i>
    <i r="1">
      <x v="2"/>
    </i>
    <i r="1">
      <x v="3"/>
    </i>
    <i r="1">
      <x v="4"/>
    </i>
    <i>
      <x v="1"/>
    </i>
    <i r="1">
      <x/>
    </i>
    <i r="1">
      <x v="1"/>
    </i>
    <i r="1">
      <x v="2"/>
    </i>
    <i r="1">
      <x v="3"/>
    </i>
    <i r="1">
      <x v="4"/>
    </i>
    <i>
      <x v="2"/>
    </i>
    <i r="1">
      <x/>
    </i>
    <i r="1">
      <x v="1"/>
    </i>
    <i r="1">
      <x v="2"/>
    </i>
    <i r="1">
      <x v="3"/>
    </i>
    <i r="1">
      <x v="4"/>
    </i>
    <i t="grand">
      <x/>
    </i>
  </rowItems>
  <colFields count="1">
    <field x="-2"/>
  </colFields>
  <colItems count="5">
    <i>
      <x/>
    </i>
    <i i="1">
      <x v="1"/>
    </i>
    <i i="2">
      <x v="2"/>
    </i>
    <i i="3">
      <x v="3"/>
    </i>
    <i i="4">
      <x v="4"/>
    </i>
  </colItems>
  <pageFields count="1">
    <pageField fld="3" hier="-1"/>
  </pageFields>
  <dataFields count="5">
    <dataField name="Sum of PosPre" fld="12" baseField="0" baseItem="0"/>
    <dataField name="Sum of FPR" fld="19" baseField="0" baseItem="0" numFmtId="164"/>
    <dataField name="Sum of FNR" fld="23" baseField="0" baseItem="0" numFmtId="164"/>
    <dataField name="Sum of BalAcc" fld="29" baseField="0" baseItem="0" numFmtId="164"/>
    <dataField name="Sum of YoudenJ" fld="3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12370E-705D-4A16-9F3D-87A62605BDC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22" firstHeaderRow="0" firstDataRow="1" firstDataCol="1" rowPageCount="1" colPageCount="1"/>
  <pivotFields count="41">
    <pivotField showAll="0"/>
    <pivotField showAll="0"/>
    <pivotField showAll="0"/>
    <pivotField axis="axisPage" multipleItemSelectionAllowed="1" showAll="0">
      <items count="4">
        <item h="1" x="0"/>
        <item x="1"/>
        <item h="1" x="2"/>
        <item t="default"/>
      </items>
    </pivotField>
    <pivotField axis="axisRow" numFmtId="165" showAll="0">
      <items count="4">
        <item x="0"/>
        <item x="1"/>
        <item x="2"/>
        <item t="default"/>
      </items>
    </pivotField>
    <pivotField axis="axisRow" showAll="0">
      <items count="6">
        <item x="0"/>
        <item x="1"/>
        <item x="2"/>
        <item x="3"/>
        <item x="4"/>
        <item t="default"/>
      </items>
    </pivotField>
    <pivotField showAll="0"/>
    <pivotField showAll="0"/>
    <pivotField showAll="0"/>
    <pivotField showAll="0">
      <items count="2">
        <item x="0"/>
        <item t="default"/>
      </items>
    </pivotField>
    <pivotField showAll="0"/>
    <pivotField showAll="0"/>
    <pivotField dataField="1" showAll="0"/>
    <pivotField showAll="0"/>
    <pivotField showAll="0"/>
    <pivotField dataField="1" showAll="0"/>
    <pivotField dataField="1" showAll="0"/>
    <pivotField showAll="0"/>
    <pivotField showAll="0"/>
    <pivotField numFmtId="164" showAll="0"/>
    <pivotField numFmtId="164" showAll="0"/>
    <pivotField dataField="1" showAll="0"/>
    <pivotField showAll="0"/>
    <pivotField dataField="1" numFmtId="164" showAll="0"/>
    <pivotField numFmtId="164" showAll="0"/>
    <pivotField numFmtId="164" showAll="0"/>
    <pivotField numFmtId="164" showAll="0"/>
    <pivotField showAll="0"/>
    <pivotField numFmtId="164" showAll="0"/>
    <pivotField numFmtId="164" showAll="0"/>
    <pivotField numFmtId="164" showAll="0"/>
    <pivotField numFmtId="164" showAll="0"/>
    <pivotField showAll="0"/>
    <pivotField showAll="0"/>
    <pivotField numFmtId="164" showAll="0"/>
    <pivotField showAll="0"/>
    <pivotField numFmtId="164" showAll="0"/>
    <pivotField numFmtId="164" showAll="0"/>
    <pivotField numFmtId="164" showAll="0"/>
    <pivotField numFmtId="164" showAll="0"/>
    <pivotField showAll="0"/>
  </pivotFields>
  <rowFields count="2">
    <field x="4"/>
    <field x="5"/>
  </rowFields>
  <rowItems count="19">
    <i>
      <x/>
    </i>
    <i r="1">
      <x/>
    </i>
    <i r="1">
      <x v="1"/>
    </i>
    <i r="1">
      <x v="2"/>
    </i>
    <i r="1">
      <x v="3"/>
    </i>
    <i r="1">
      <x v="4"/>
    </i>
    <i>
      <x v="1"/>
    </i>
    <i r="1">
      <x/>
    </i>
    <i r="1">
      <x v="1"/>
    </i>
    <i r="1">
      <x v="2"/>
    </i>
    <i r="1">
      <x v="3"/>
    </i>
    <i r="1">
      <x v="4"/>
    </i>
    <i>
      <x v="2"/>
    </i>
    <i r="1">
      <x/>
    </i>
    <i r="1">
      <x v="1"/>
    </i>
    <i r="1">
      <x v="2"/>
    </i>
    <i r="1">
      <x v="3"/>
    </i>
    <i r="1">
      <x v="4"/>
    </i>
    <i t="grand">
      <x/>
    </i>
  </rowItems>
  <colFields count="1">
    <field x="-2"/>
  </colFields>
  <colItems count="5">
    <i>
      <x/>
    </i>
    <i i="1">
      <x v="1"/>
    </i>
    <i i="2">
      <x v="2"/>
    </i>
    <i i="3">
      <x v="3"/>
    </i>
    <i i="4">
      <x v="4"/>
    </i>
  </colItems>
  <pageFields count="1">
    <pageField fld="3" hier="-1"/>
  </pageFields>
  <dataFields count="5">
    <dataField name="Sum of PosPre" fld="12" baseField="0" baseItem="0"/>
    <dataField name="Sum of FDR" fld="21" baseField="0" baseItem="0"/>
    <dataField name="Sum of FNR" fld="23" baseField="0" baseItem="0" numFmtId="164"/>
    <dataField name="Sum of FN" fld="16" baseField="0" baseItem="0"/>
    <dataField name="Sum of FP"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79819A-5244-42BE-B7EA-5AF40504F3EA}" name="PivotTable1" cacheId="1"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24" firstHeaderRow="1" firstDataRow="3" firstDataCol="1"/>
  <pivotFields count="41">
    <pivotField showAll="0"/>
    <pivotField showAll="0"/>
    <pivotField showAll="0"/>
    <pivotField axis="axisRow" multipleItemSelectionAllowed="1" showAll="0">
      <items count="4">
        <item x="0"/>
        <item x="1"/>
        <item x="2"/>
        <item t="default"/>
      </items>
    </pivotField>
    <pivotField axis="axisCol" numFmtId="165" showAll="0">
      <items count="4">
        <item x="0"/>
        <item x="1"/>
        <item x="2"/>
        <item t="default"/>
      </items>
    </pivotField>
    <pivotField axis="axisRow" showAll="0">
      <items count="6">
        <item x="0"/>
        <item x="1"/>
        <item x="2"/>
        <item x="3"/>
        <item x="4"/>
        <item t="default"/>
      </items>
    </pivotField>
    <pivotField showAll="0"/>
    <pivotField showAll="0"/>
    <pivotField showAll="0"/>
    <pivotField showAll="0">
      <items count="2">
        <item x="0"/>
        <item t="default"/>
      </items>
    </pivotField>
    <pivotField showAll="0"/>
    <pivotField showAll="0"/>
    <pivotField showAll="0"/>
    <pivotField showAll="0"/>
    <pivotField showAll="0"/>
    <pivotField showAll="0"/>
    <pivotField showAll="0"/>
    <pivotField showAll="0"/>
    <pivotField showAll="0"/>
    <pivotField dataField="1" numFmtId="164" showAll="0"/>
    <pivotField numFmtId="164" showAll="0"/>
    <pivotField showAll="0"/>
    <pivotField showAll="0"/>
    <pivotField dataField="1" numFmtId="164" showAll="0"/>
    <pivotField numFmtId="164" showAll="0"/>
    <pivotField numFmtId="164" showAll="0"/>
    <pivotField numFmtId="164" showAll="0"/>
    <pivotField showAll="0"/>
    <pivotField numFmtId="164" showAll="0"/>
    <pivotField numFmtId="164" showAll="0"/>
    <pivotField numFmtId="164" showAll="0"/>
    <pivotField numFmtId="164" showAll="0"/>
    <pivotField showAll="0"/>
    <pivotField showAll="0"/>
    <pivotField numFmtId="164" showAll="0"/>
    <pivotField showAll="0"/>
    <pivotField numFmtId="164" showAll="0"/>
    <pivotField numFmtId="164" showAll="0"/>
    <pivotField numFmtId="164" showAll="0"/>
    <pivotField numFmtId="164" showAll="0"/>
    <pivotField showAll="0"/>
  </pivotFields>
  <rowFields count="2">
    <field x="3"/>
    <field x="5"/>
  </rowFields>
  <rowItems count="19">
    <i>
      <x/>
    </i>
    <i r="1">
      <x/>
    </i>
    <i r="1">
      <x v="1"/>
    </i>
    <i r="1">
      <x v="2"/>
    </i>
    <i r="1">
      <x v="3"/>
    </i>
    <i r="1">
      <x v="4"/>
    </i>
    <i>
      <x v="1"/>
    </i>
    <i r="1">
      <x/>
    </i>
    <i r="1">
      <x v="1"/>
    </i>
    <i r="1">
      <x v="2"/>
    </i>
    <i r="1">
      <x v="3"/>
    </i>
    <i r="1">
      <x v="4"/>
    </i>
    <i>
      <x v="2"/>
    </i>
    <i r="1">
      <x/>
    </i>
    <i r="1">
      <x v="1"/>
    </i>
    <i r="1">
      <x v="2"/>
    </i>
    <i r="1">
      <x v="3"/>
    </i>
    <i r="1">
      <x v="4"/>
    </i>
    <i t="grand">
      <x/>
    </i>
  </rowItems>
  <colFields count="2">
    <field x="-2"/>
    <field x="4"/>
  </colFields>
  <colItems count="8">
    <i>
      <x/>
      <x/>
    </i>
    <i r="1">
      <x v="1"/>
    </i>
    <i r="1">
      <x v="2"/>
    </i>
    <i i="1">
      <x v="1"/>
      <x/>
    </i>
    <i r="1" i="1">
      <x v="1"/>
    </i>
    <i r="1" i="1">
      <x v="2"/>
    </i>
    <i t="grand">
      <x/>
    </i>
    <i t="grand" i="1">
      <x/>
    </i>
  </colItems>
  <dataFields count="2">
    <dataField name="Average of FPR" fld="19" subtotal="average" baseField="3" baseItem="0" numFmtId="164"/>
    <dataField name="Average of FNR" fld="23" subtotal="average" baseField="3" baseItem="0" numFmtId="164"/>
  </dataFields>
  <formats count="6">
    <format dxfId="5">
      <pivotArea collapsedLevelsAreSubtotals="1" fieldPosition="0">
        <references count="1">
          <reference field="3" count="1">
            <x v="0"/>
          </reference>
        </references>
      </pivotArea>
    </format>
    <format dxfId="4">
      <pivotArea collapsedLevelsAreSubtotals="1" fieldPosition="0">
        <references count="2">
          <reference field="3" count="1" selected="0">
            <x v="0"/>
          </reference>
          <reference field="5" count="0"/>
        </references>
      </pivotArea>
    </format>
    <format dxfId="3">
      <pivotArea collapsedLevelsAreSubtotals="1" fieldPosition="0">
        <references count="1">
          <reference field="3" count="1">
            <x v="1"/>
          </reference>
        </references>
      </pivotArea>
    </format>
    <format dxfId="2">
      <pivotArea collapsedLevelsAreSubtotals="1" fieldPosition="0">
        <references count="2">
          <reference field="3" count="1" selected="0">
            <x v="1"/>
          </reference>
          <reference field="5" count="0"/>
        </references>
      </pivotArea>
    </format>
    <format dxfId="1">
      <pivotArea collapsedLevelsAreSubtotals="1" fieldPosition="0">
        <references count="1">
          <reference field="3" count="1">
            <x v="2"/>
          </reference>
        </references>
      </pivotArea>
    </format>
    <format dxfId="0">
      <pivotArea collapsedLevelsAreSubtotals="1" fieldPosition="0">
        <references count="2">
          <reference field="3" count="1" selected="0">
            <x v="2"/>
          </reference>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E0CAB0-BA85-467C-8EBD-E50BDC2E9A1D}" name="Table1" displayName="Table1" ref="A1:AO46" totalsRowShown="0">
  <autoFilter ref="A1:AO46" xr:uid="{B2E0CAB0-BA85-467C-8EBD-E50BDC2E9A1D}"/>
  <sortState xmlns:xlrd2="http://schemas.microsoft.com/office/spreadsheetml/2017/richdata2" ref="A2:AO46">
    <sortCondition ref="D2:D46"/>
    <sortCondition ref="E2:E46"/>
    <sortCondition ref="F2:F46"/>
    <sortCondition descending="1" ref="AD2:AD46"/>
  </sortState>
  <tableColumns count="41">
    <tableColumn id="1" xr3:uid="{0AAF8081-D1D8-4619-848A-9FC2C1F0EF5D}" name="Path"/>
    <tableColumn id="2" xr3:uid="{48E434A7-3D87-4D4B-9A9F-8376060ED3F7}" name="SPM"/>
    <tableColumn id="3" xr3:uid="{E3D82519-0DAB-4675-9E11-805361224044}" name="Mask"/>
    <tableColumn id="4" xr3:uid="{05DEF893-439B-4032-B272-CF225FF808DB}" name="Kernel"/>
    <tableColumn id="5" xr3:uid="{295FF8FF-3618-4764-AA90-A9B79CA1150D}" name="CohD" dataDxfId="35"/>
    <tableColumn id="6" xr3:uid="{F4559D5F-7DCF-49B5-A923-A7CC8024E047}" name="ClusterSize"/>
    <tableColumn id="12" xr3:uid="{93F4A891-6DBD-4EC0-B5CF-B5529A2D3C42}" name="PosPreBound"/>
    <tableColumn id="11" xr3:uid="{113FA5B0-2FEA-47F8-8C5F-3066742EC815}" name="NegActBound"/>
    <tableColumn id="31" xr3:uid="{42118DAE-74E1-48EB-B5E7-83B53C708F48}" name="BoundFPR" dataDxfId="34">
      <calculatedColumnFormula>Table1[[#This Row],[PosPreBound]]/Table1[[#This Row],[NegActBound]]</calculatedColumnFormula>
    </tableColumn>
    <tableColumn id="7" xr3:uid="{1E8A88A6-E008-42FC-9B6F-D349DEC0DA12}" name="Total"/>
    <tableColumn id="8" xr3:uid="{537B568A-2E12-4B5C-B48A-A80BE14CE9EC}" name="PosAct"/>
    <tableColumn id="13" xr3:uid="{2E8CEBED-E8AE-41EC-BEC7-CEF4B096FFA4}" name="NegAct" dataDxfId="33">
      <calculatedColumnFormula>Table1[[#This Row],[Total]]-Table1[[#This Row],[PosAct]]</calculatedColumnFormula>
    </tableColumn>
    <tableColumn id="9" xr3:uid="{2AECC941-1B8B-428F-A3FD-ABC4966E846E}" name="PosPre"/>
    <tableColumn id="14" xr3:uid="{76097F4F-9ACA-4652-93F3-936E5D03FCAD}" name="NegPre" dataDxfId="32">
      <calculatedColumnFormula>Table1[[#This Row],[Total]]-Table1[[#This Row],[PosPre]]</calculatedColumnFormula>
    </tableColumn>
    <tableColumn id="10" xr3:uid="{E4C3B23D-0A15-411E-BC0C-4D3141809CA2}" name="TP"/>
    <tableColumn id="15" xr3:uid="{DF888D4D-5995-40B5-9747-3CA4989E34E9}" name="FP" dataDxfId="31">
      <calculatedColumnFormula>Table1[[#This Row],[PosPre]]-Table1[[#This Row],[TP]]</calculatedColumnFormula>
    </tableColumn>
    <tableColumn id="16" xr3:uid="{642A8CA4-F487-42AC-856F-C58EC4422BA4}" name="FN" dataDxfId="30">
      <calculatedColumnFormula>Table1[[#This Row],[PosAct]]-Table1[[#This Row],[TP]]</calculatedColumnFormula>
    </tableColumn>
    <tableColumn id="17" xr3:uid="{E15B43E7-CDDA-4415-BF99-9E81BC5E3BA4}" name="TN" dataDxfId="29">
      <calculatedColumnFormula>Table1[[#This Row],[NegAct]]-Table1[[#This Row],[FP]]</calculatedColumnFormula>
    </tableColumn>
    <tableColumn id="18" xr3:uid="{DCA22CA4-2CC2-4268-A171-4930739A4F8C}" name="TEST1" dataDxfId="28">
      <calculatedColumnFormula>IF(SUM(Table1[[#This Row],[TP]:[TN]])=Table1[[#This Row],[Total]],"","ERROR")</calculatedColumnFormula>
    </tableColumn>
    <tableColumn id="19" xr3:uid="{9B6BBBBB-0BBA-44CC-A86C-1AD6DE1F1F9E}" name="FPR" dataDxfId="27">
      <calculatedColumnFormula>Table1[[#This Row],[FP]]/(Table1[[#This Row],[FP]]+Table1[[#This Row],[TN]])</calculatedColumnFormula>
    </tableColumn>
    <tableColumn id="20" xr3:uid="{34F89940-2E24-40AC-8E4B-00852632AEDB}" name="Specificity" dataDxfId="26">
      <calculatedColumnFormula>1-Table1[[#This Row],[FPR]]</calculatedColumnFormula>
    </tableColumn>
    <tableColumn id="21" xr3:uid="{2C69523D-B05C-40D3-9182-133587A42C97}" name="FDR" dataDxfId="25">
      <calculatedColumnFormula>Table1[[#This Row],[FP]]/(Table1[[#This Row],[FP]]+Table1[[#This Row],[TP]])</calculatedColumnFormula>
    </tableColumn>
    <tableColumn id="22" xr3:uid="{AD779D52-FC69-44CF-BF24-B33689EE4965}" name="PPV" dataDxfId="24">
      <calculatedColumnFormula>1-Table1[[#This Row],[FDR]]</calculatedColumnFormula>
    </tableColumn>
    <tableColumn id="23" xr3:uid="{D1656432-0022-4D72-9BE8-41BF4F4FDE60}" name="FNR" dataDxfId="23">
      <calculatedColumnFormula>Table1[[#This Row],[FN]]/(Table1[[#This Row],[FN]]+Table1[[#This Row],[TP]])</calculatedColumnFormula>
    </tableColumn>
    <tableColumn id="24" xr3:uid="{55698BAC-71FB-40AF-A1A2-E2E43611C059}" name="Sensitivity" dataDxfId="22">
      <calculatedColumnFormula>1-Table1[[#This Row],[FNR]]</calculatedColumnFormula>
    </tableColumn>
    <tableColumn id="25" xr3:uid="{BC292A43-1FB1-45D5-8FA7-7D98777B2BEF}" name="NPV" dataDxfId="21">
      <calculatedColumnFormula>Table1[[#This Row],[TN]]/(Table1[[#This Row],[TN]]+Table1[[#This Row],[FN]])</calculatedColumnFormula>
    </tableColumn>
    <tableColumn id="26" xr3:uid="{774DE1A9-55C5-4E42-9A60-871C84F85F48}" name="FOR" dataDxfId="20">
      <calculatedColumnFormula>1-Table1[[#This Row],[NPV]]</calculatedColumnFormula>
    </tableColumn>
    <tableColumn id="27" xr3:uid="{1874B779-8F94-4FA3-AB92-5D0556B8D28B}" name="FNR_FPR" dataDxfId="19">
      <calculatedColumnFormula>Table1[[#This Row],[FNR]]/Table1[[#This Row],[FPR]]</calculatedColumnFormula>
    </tableColumn>
    <tableColumn id="28" xr3:uid="{4C706B9A-95DE-4DAA-96FB-77136B9F2EE4}" name="Sens_Spec" dataDxfId="18">
      <calculatedColumnFormula>Table1[[#This Row],[Sensitivity]]/Table1[[#This Row],[Specificity]]</calculatedColumnFormula>
    </tableColumn>
    <tableColumn id="29" xr3:uid="{A64756D3-8AAC-4D74-8C90-9AA1A242ADAF}" name="BalAcc" dataDxfId="17">
      <calculatedColumnFormula>(Table1[[#This Row],[Sensitivity]]+Table1[[#This Row],[Specificity]])/2</calculatedColumnFormula>
    </tableColumn>
    <tableColumn id="37" xr3:uid="{5FD4958B-978A-457F-A3CF-CFFEC5E6493C}" name="wBalAcc" dataDxfId="16">
      <calculatedColumnFormula>(0.95*Table1[[#This Row],[Specificity]]+0.8*Table1[[#This Row],[Sensitivity]])/SUM(0.95,0.8)</calculatedColumnFormula>
    </tableColumn>
    <tableColumn id="38" xr3:uid="{08882D62-9F78-43AF-9027-D9FDC82E6943}" name="MSE_Sens_Spec" dataDxfId="15">
      <calculatedColumnFormula>AVERAGE((Table1[[#This Row],[Specificity]]-0.95)^2,(Table1[[#This Row],[Sensitivity]]-0.8)^2)</calculatedColumnFormula>
    </tableColumn>
    <tableColumn id="30" xr3:uid="{315A615B-6A0E-45CA-B7CB-16508F6E2068}" name="F1Score" dataDxfId="14">
      <calculatedColumnFormula>2*(Table1[[#This Row],[PPV]]*Table1[[#This Row],[Sensitivity]])/(Table1[[#This Row],[PPV]]+Table1[[#This Row],[Sensitivity]])</calculatedColumnFormula>
    </tableColumn>
    <tableColumn id="32" xr3:uid="{9EA9BAA8-0BEE-4E34-8476-8C4A87159997}" name="LRPlus" dataDxfId="13">
      <calculatedColumnFormula>Table1[[#This Row],[Sensitivity]]/Table1[[#This Row],[FPR]]</calculatedColumnFormula>
    </tableColumn>
    <tableColumn id="33" xr3:uid="{60A2C307-E23B-48EC-A4C2-E8C82020C36F}" name="LRMinus" dataDxfId="12">
      <calculatedColumnFormula>Table1[[#This Row],[FNR]]/Table1[[#This Row],[Specificity]]</calculatedColumnFormula>
    </tableColumn>
    <tableColumn id="34" xr3:uid="{B26705EC-FD00-4588-9DDE-7EF4DE8D0303}" name="DOR" dataDxfId="11">
      <calculatedColumnFormula>Table1[[#This Row],[LRPlus]]/Table1[[#This Row],[LRMinus]]</calculatedColumnFormula>
    </tableColumn>
    <tableColumn id="36" xr3:uid="{47B9F242-A396-4729-87D7-F1F99BC6F47A}" name="FM" dataDxfId="10">
      <calculatedColumnFormula>SQRT(Table1[[#This Row],[PPV]]*Table1[[#This Row],[Sensitivity]])</calculatedColumnFormula>
    </tableColumn>
    <tableColumn id="40" xr3:uid="{F4842DD7-0A6B-41C3-9545-915E9438A950}" name="MattCorCoef" dataDxfId="9">
      <calculatedColumnFormula>SQRT(Table1[[#This Row],[Sensitivity]]*Table1[[#This Row],[Specificity]]*Table1[[#This Row],[PPV]]*Table1[[#This Row],[NPV]]) - SQRT(Table1[[#This Row],[FNR]]*Table1[[#This Row],[FPR]]*Table1[[#This Row],[FOR]]*Table1[[#This Row],[FDR]])</calculatedColumnFormula>
    </tableColumn>
    <tableColumn id="35" xr3:uid="{791432B8-1E8C-4F10-8A09-C44C9BA02AD0}" name="Jaccard" dataDxfId="8">
      <calculatedColumnFormula>Table1[[#This Row],[TP]]/(Table1[[#This Row],[TP]]+Table1[[#This Row],[FN]]+Table1[[#This Row],[FP]])</calculatedColumnFormula>
    </tableColumn>
    <tableColumn id="39" xr3:uid="{AB86DEC9-C718-4FD7-A297-9EC96957CD77}" name="YoudenJ" dataDxfId="7">
      <calculatedColumnFormula>Table1[[#This Row],[Specificity]]+Table1[[#This Row],[Sensitivity]]-1</calculatedColumnFormula>
    </tableColumn>
    <tableColumn id="41" xr3:uid="{3CCC16BC-B685-41CD-B066-5B0F99428519}" name="FPRCorr" dataDxfId="6">
      <calculatedColumnFormula>Table1[[#This Row],[FPR]]/Table1[[#This Row],[FP]]</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29222-D87B-40BC-827F-7EE9DB3D1922}">
  <dimension ref="A1:AO52"/>
  <sheetViews>
    <sheetView tabSelected="1" zoomScaleNormal="100" workbookViewId="0">
      <selection activeCell="C10" sqref="C10"/>
    </sheetView>
  </sheetViews>
  <sheetFormatPr defaultRowHeight="14.4" x14ac:dyDescent="0.3"/>
  <cols>
    <col min="1" max="1" width="9.77734375" customWidth="1"/>
    <col min="2" max="2" width="41.33203125" customWidth="1"/>
    <col min="3" max="3" width="46.109375" bestFit="1" customWidth="1"/>
    <col min="4" max="4" width="10" bestFit="1" customWidth="1"/>
    <col min="5" max="5" width="10.44140625" bestFit="1" customWidth="1"/>
    <col min="6" max="6" width="14.109375" bestFit="1" customWidth="1"/>
    <col min="7" max="8" width="15.77734375" bestFit="1" customWidth="1"/>
    <col min="9" max="9" width="13" bestFit="1" customWidth="1"/>
    <col min="10" max="10" width="8.88671875" bestFit="1" customWidth="1"/>
    <col min="11" max="11" width="10.109375" bestFit="1" customWidth="1"/>
    <col min="12" max="13" width="10.21875" bestFit="1" customWidth="1"/>
    <col min="14" max="14" width="10.44140625" bestFit="1" customWidth="1"/>
    <col min="15" max="15" width="6.33203125" bestFit="1" customWidth="1"/>
    <col min="16" max="16" width="7.77734375" bestFit="1" customWidth="1"/>
    <col min="17" max="17" width="6.44140625" bestFit="1" customWidth="1"/>
    <col min="19" max="19" width="9.44140625" bestFit="1" customWidth="1"/>
    <col min="20" max="20" width="7.44140625" bestFit="1" customWidth="1"/>
    <col min="21" max="21" width="13.109375" bestFit="1" customWidth="1"/>
    <col min="22" max="22" width="8.6640625" bestFit="1" customWidth="1"/>
    <col min="23" max="24" width="7.5546875" bestFit="1" customWidth="1"/>
    <col min="25" max="25" width="13.109375" bestFit="1" customWidth="1"/>
    <col min="26" max="27" width="7.77734375" bestFit="1" customWidth="1"/>
    <col min="28" max="28" width="11.5546875" bestFit="1" customWidth="1"/>
    <col min="29" max="29" width="13.5546875" bestFit="1" customWidth="1"/>
    <col min="30" max="30" width="10" bestFit="1" customWidth="1"/>
    <col min="31" max="32" width="10" customWidth="1"/>
    <col min="33" max="33" width="11.21875" bestFit="1" customWidth="1"/>
    <col min="34" max="34" width="10.44140625" bestFit="1" customWidth="1"/>
    <col min="35" max="35" width="11.5546875" bestFit="1" customWidth="1"/>
    <col min="36" max="36" width="10.44140625" bestFit="1" customWidth="1"/>
    <col min="37" max="38" width="10.44140625" customWidth="1"/>
    <col min="41" max="41" width="11.5546875" bestFit="1" customWidth="1"/>
  </cols>
  <sheetData>
    <row r="1" spans="1:41" x14ac:dyDescent="0.3">
      <c r="A1" t="s">
        <v>0</v>
      </c>
      <c r="B1" t="s">
        <v>1</v>
      </c>
      <c r="C1" t="s">
        <v>2</v>
      </c>
      <c r="D1" t="s">
        <v>3</v>
      </c>
      <c r="E1" t="s">
        <v>4</v>
      </c>
      <c r="F1" t="s">
        <v>5</v>
      </c>
      <c r="G1" t="s">
        <v>11</v>
      </c>
      <c r="H1" t="s">
        <v>10</v>
      </c>
      <c r="I1" t="s">
        <v>78</v>
      </c>
      <c r="J1" t="s">
        <v>6</v>
      </c>
      <c r="K1" t="s">
        <v>7</v>
      </c>
      <c r="L1" t="s">
        <v>61</v>
      </c>
      <c r="M1" t="s">
        <v>8</v>
      </c>
      <c r="N1" t="s">
        <v>62</v>
      </c>
      <c r="O1" t="s">
        <v>9</v>
      </c>
      <c r="P1" t="s">
        <v>63</v>
      </c>
      <c r="Q1" t="s">
        <v>64</v>
      </c>
      <c r="R1" t="s">
        <v>65</v>
      </c>
      <c r="S1" t="s">
        <v>66</v>
      </c>
      <c r="T1" t="s">
        <v>67</v>
      </c>
      <c r="U1" t="s">
        <v>68</v>
      </c>
      <c r="V1" t="s">
        <v>89</v>
      </c>
      <c r="W1" t="s">
        <v>72</v>
      </c>
      <c r="X1" t="s">
        <v>69</v>
      </c>
      <c r="Y1" t="s">
        <v>70</v>
      </c>
      <c r="Z1" t="s">
        <v>73</v>
      </c>
      <c r="AA1" t="s">
        <v>71</v>
      </c>
      <c r="AB1" t="s">
        <v>74</v>
      </c>
      <c r="AC1" t="s">
        <v>75</v>
      </c>
      <c r="AD1" t="s">
        <v>76</v>
      </c>
      <c r="AE1" t="s">
        <v>84</v>
      </c>
      <c r="AF1" t="s">
        <v>85</v>
      </c>
      <c r="AG1" t="s">
        <v>77</v>
      </c>
      <c r="AH1" t="s">
        <v>79</v>
      </c>
      <c r="AI1" t="s">
        <v>80</v>
      </c>
      <c r="AJ1" t="s">
        <v>81</v>
      </c>
      <c r="AK1" t="s">
        <v>83</v>
      </c>
      <c r="AL1" t="s">
        <v>86</v>
      </c>
      <c r="AM1" t="s">
        <v>82</v>
      </c>
      <c r="AN1" t="s">
        <v>87</v>
      </c>
      <c r="AO1" t="s">
        <v>88</v>
      </c>
    </row>
    <row r="2" spans="1:41" x14ac:dyDescent="0.3">
      <c r="A2" t="s">
        <v>12</v>
      </c>
      <c r="B2" t="s">
        <v>13</v>
      </c>
      <c r="C2" t="s">
        <v>14</v>
      </c>
      <c r="D2">
        <v>0</v>
      </c>
      <c r="E2" s="2">
        <v>0.54647760000000001</v>
      </c>
      <c r="F2">
        <v>1</v>
      </c>
      <c r="J2">
        <v>2033600</v>
      </c>
      <c r="K2">
        <v>5400</v>
      </c>
      <c r="L2">
        <f>Table1[[#This Row],[Total]]-Table1[[#This Row],[PosAct]]</f>
        <v>2028200</v>
      </c>
      <c r="M2">
        <v>104011</v>
      </c>
      <c r="N2">
        <f>Table1[[#This Row],[Total]]-Table1[[#This Row],[PosPre]]</f>
        <v>1929589</v>
      </c>
      <c r="O2">
        <v>3600</v>
      </c>
      <c r="P2">
        <f>Table1[[#This Row],[PosPre]]-Table1[[#This Row],[TP]]</f>
        <v>100411</v>
      </c>
      <c r="Q2">
        <f>Table1[[#This Row],[PosAct]]-Table1[[#This Row],[TP]]</f>
        <v>1800</v>
      </c>
      <c r="R2">
        <f>Table1[[#This Row],[NegAct]]-Table1[[#This Row],[FP]]</f>
        <v>1927789</v>
      </c>
      <c r="S2" t="str">
        <f>IF(SUM(Table1[[#This Row],[TP]:[TN]])=Table1[[#This Row],[Total]],"","ERROR")</f>
        <v/>
      </c>
      <c r="T2" s="1">
        <f>Table1[[#This Row],[FP]]/(Table1[[#This Row],[FP]]+Table1[[#This Row],[TN]])</f>
        <v>4.9507445025145452E-2</v>
      </c>
      <c r="U2" s="1">
        <f>1-Table1[[#This Row],[FPR]]</f>
        <v>0.95049255497485452</v>
      </c>
      <c r="V2" s="1">
        <f>Table1[[#This Row],[FP]]/(Table1[[#This Row],[FP]]+Table1[[#This Row],[TP]])</f>
        <v>0.96538827624001311</v>
      </c>
      <c r="W2" s="1">
        <f>1-Table1[[#This Row],[FDR]]</f>
        <v>3.461172375998689E-2</v>
      </c>
      <c r="X2" s="1">
        <f>Table1[[#This Row],[FN]]/(Table1[[#This Row],[FN]]+Table1[[#This Row],[TP]])</f>
        <v>0.33333333333333331</v>
      </c>
      <c r="Y2" s="1">
        <f>1-Table1[[#This Row],[FNR]]</f>
        <v>0.66666666666666674</v>
      </c>
      <c r="Z2" s="1">
        <f>Table1[[#This Row],[TN]]/(Table1[[#This Row],[TN]]+Table1[[#This Row],[FN]])</f>
        <v>0.99906715886129116</v>
      </c>
      <c r="AA2" s="1">
        <f>1-Table1[[#This Row],[NPV]]</f>
        <v>9.3284113870883978E-4</v>
      </c>
      <c r="AB2" s="1">
        <f>Table1[[#This Row],[FNR]]/Table1[[#This Row],[FPR]]</f>
        <v>6.7329940610756447</v>
      </c>
      <c r="AC2" s="1">
        <f>Table1[[#This Row],[Sensitivity]]/Table1[[#This Row],[Specificity]]</f>
        <v>0.70139072965627125</v>
      </c>
      <c r="AD2" s="1">
        <f>(Table1[[#This Row],[Sensitivity]]+Table1[[#This Row],[Specificity]])/2</f>
        <v>0.80857961082076057</v>
      </c>
      <c r="AE2" s="1">
        <f>(0.95*Table1[[#This Row],[Specificity]]+0.8*Table1[[#This Row],[Sensitivity]])/SUM(0.95,0.8)</f>
        <v>0.82074357746254012</v>
      </c>
      <c r="AF2" s="1">
        <f>AVERAGE((Table1[[#This Row],[Specificity]]-0.95)^2,(Table1[[#This Row],[Sensitivity]]-0.8)^2)</f>
        <v>8.889010194090512E-3</v>
      </c>
      <c r="AG2" s="1">
        <f>2*(Table1[[#This Row],[PPV]]*Table1[[#This Row],[Sensitivity]])/(Table1[[#This Row],[PPV]]+Table1[[#This Row],[Sensitivity]])</f>
        <v>6.5806911553682831E-2</v>
      </c>
      <c r="AH2" s="1">
        <f>Table1[[#This Row],[Sensitivity]]/Table1[[#This Row],[FPR]]</f>
        <v>13.465988122151293</v>
      </c>
      <c r="AI2" s="1">
        <f>Table1[[#This Row],[FNR]]/Table1[[#This Row],[Specificity]]</f>
        <v>0.35069536482813557</v>
      </c>
      <c r="AJ2" s="1">
        <f>Table1[[#This Row],[LRPlus]]/Table1[[#This Row],[LRMinus]]</f>
        <v>38.397964366453877</v>
      </c>
      <c r="AK2" s="1">
        <f>SQRT(Table1[[#This Row],[PPV]]*Table1[[#This Row],[Sensitivity]])</f>
        <v>0.15190287194999944</v>
      </c>
      <c r="AL2" s="1">
        <f>SQRT(Table1[[#This Row],[Sensitivity]]*Table1[[#This Row],[Specificity]]*Table1[[#This Row],[PPV]]*Table1[[#This Row],[NPV]]) - SQRT(Table1[[#This Row],[FNR]]*Table1[[#This Row],[FPR]]*Table1[[#This Row],[FOR]]*Table1[[#This Row],[FDR]])</f>
        <v>0.14417084651310097</v>
      </c>
      <c r="AM2" s="1">
        <f>Table1[[#This Row],[TP]]/(Table1[[#This Row],[TP]]+Table1[[#This Row],[FN]]+Table1[[#This Row],[FP]])</f>
        <v>3.4022927672926258E-2</v>
      </c>
      <c r="AN2" s="1">
        <f>Table1[[#This Row],[Specificity]]+Table1[[#This Row],[Sensitivity]]-1</f>
        <v>0.61715922164152115</v>
      </c>
      <c r="AO2" s="4">
        <f>Table1[[#This Row],[FPR]]/Table1[[#This Row],[FP]]</f>
        <v>4.9304802287742831E-7</v>
      </c>
    </row>
    <row r="3" spans="1:41" x14ac:dyDescent="0.3">
      <c r="A3" t="s">
        <v>12</v>
      </c>
      <c r="B3" t="s">
        <v>15</v>
      </c>
      <c r="C3" t="s">
        <v>14</v>
      </c>
      <c r="D3">
        <v>0</v>
      </c>
      <c r="E3" s="2">
        <v>0.54647760000000001</v>
      </c>
      <c r="F3">
        <v>8</v>
      </c>
      <c r="J3">
        <v>2033600</v>
      </c>
      <c r="K3">
        <v>5400</v>
      </c>
      <c r="L3">
        <f>Table1[[#This Row],[Total]]-Table1[[#This Row],[PosAct]]</f>
        <v>2028200</v>
      </c>
      <c r="M3">
        <v>8549</v>
      </c>
      <c r="N3">
        <f>Table1[[#This Row],[Total]]-Table1[[#This Row],[PosPre]]</f>
        <v>2025051</v>
      </c>
      <c r="O3">
        <v>3584</v>
      </c>
      <c r="P3">
        <f>Table1[[#This Row],[PosPre]]-Table1[[#This Row],[TP]]</f>
        <v>4965</v>
      </c>
      <c r="Q3">
        <f>Table1[[#This Row],[PosAct]]-Table1[[#This Row],[TP]]</f>
        <v>1816</v>
      </c>
      <c r="R3">
        <f>Table1[[#This Row],[NegAct]]-Table1[[#This Row],[FP]]</f>
        <v>2023235</v>
      </c>
      <c r="S3" t="str">
        <f>IF(SUM(Table1[[#This Row],[TP]:[TN]])=Table1[[#This Row],[Total]],"","ERROR")</f>
        <v/>
      </c>
      <c r="T3" s="1">
        <f>Table1[[#This Row],[FP]]/(Table1[[#This Row],[FP]]+Table1[[#This Row],[TN]])</f>
        <v>2.4479834335864314E-3</v>
      </c>
      <c r="U3" s="1">
        <f>1-Table1[[#This Row],[FPR]]</f>
        <v>0.99755201656641357</v>
      </c>
      <c r="V3" s="1">
        <f>Table1[[#This Row],[FP]]/(Table1[[#This Row],[FP]]+Table1[[#This Row],[TP]])</f>
        <v>0.58076968066440515</v>
      </c>
      <c r="W3" s="1">
        <f>1-Table1[[#This Row],[FDR]]</f>
        <v>0.41923031933559485</v>
      </c>
      <c r="X3" s="1">
        <f>Table1[[#This Row],[FN]]/(Table1[[#This Row],[FN]]+Table1[[#This Row],[TP]])</f>
        <v>0.33629629629629632</v>
      </c>
      <c r="Y3" s="1">
        <f>1-Table1[[#This Row],[FNR]]</f>
        <v>0.66370370370370368</v>
      </c>
      <c r="Z3" s="1">
        <f>Table1[[#This Row],[TN]]/(Table1[[#This Row],[TN]]+Table1[[#This Row],[FN]])</f>
        <v>0.99910323246179977</v>
      </c>
      <c r="AA3" s="1">
        <f>1-Table1[[#This Row],[NPV]]</f>
        <v>8.9676753820022714E-4</v>
      </c>
      <c r="AB3" s="1">
        <f>Table1[[#This Row],[FNR]]/Table1[[#This Row],[FPR]]</f>
        <v>137.37686770355452</v>
      </c>
      <c r="AC3" s="1">
        <f>Table1[[#This Row],[Sensitivity]]/Table1[[#This Row],[Specificity]]</f>
        <v>0.66533242646150936</v>
      </c>
      <c r="AD3" s="1">
        <f>(Table1[[#This Row],[Sensitivity]]+Table1[[#This Row],[Specificity]])/2</f>
        <v>0.83062786013505863</v>
      </c>
      <c r="AE3" s="1">
        <f>(0.95*Table1[[#This Row],[Specificity]]+0.8*Table1[[#This Row],[Sensitivity]])/SUM(0.95,0.8)</f>
        <v>0.84493564497203189</v>
      </c>
      <c r="AF3" s="1">
        <f>AVERAGE((Table1[[#This Row],[Specificity]]-0.95)^2,(Table1[[#This Row],[Sensitivity]]-0.8)^2)</f>
        <v>1.0418937331810142E-2</v>
      </c>
      <c r="AG3" s="1">
        <f>2*(Table1[[#This Row],[PPV]]*Table1[[#This Row],[Sensitivity]])/(Table1[[#This Row],[PPV]]+Table1[[#This Row],[Sensitivity]])</f>
        <v>0.51387196214782416</v>
      </c>
      <c r="AH3" s="1">
        <f>Table1[[#This Row],[Sensitivity]]/Table1[[#This Row],[FPR]]</f>
        <v>271.12262877177278</v>
      </c>
      <c r="AI3" s="1">
        <f>Table1[[#This Row],[FNR]]/Table1[[#This Row],[Specificity]]</f>
        <v>0.33712156430080942</v>
      </c>
      <c r="AJ3" s="1">
        <f>Table1[[#This Row],[LRPlus]]/Table1[[#This Row],[LRMinus]]</f>
        <v>804.22808114954466</v>
      </c>
      <c r="AK3" s="1">
        <f>SQRT(Table1[[#This Row],[PPV]]*Table1[[#This Row],[Sensitivity]])</f>
        <v>0.52748906685155161</v>
      </c>
      <c r="AL3" s="1">
        <f>SQRT(Table1[[#This Row],[Sensitivity]]*Table1[[#This Row],[Specificity]]*Table1[[#This Row],[PPV]]*Table1[[#This Row],[NPV]]) - SQRT(Table1[[#This Row],[FNR]]*Table1[[#This Row],[FPR]]*Table1[[#This Row],[FOR]]*Table1[[#This Row],[FDR]])</f>
        <v>0.52595195037849474</v>
      </c>
      <c r="AM3" s="1">
        <f>Table1[[#This Row],[TP]]/(Table1[[#This Row],[TP]]+Table1[[#This Row],[FN]]+Table1[[#This Row],[FP]])</f>
        <v>0.34577906415822479</v>
      </c>
      <c r="AN3" s="1">
        <f>Table1[[#This Row],[Specificity]]+Table1[[#This Row],[Sensitivity]]-1</f>
        <v>0.66125572027011725</v>
      </c>
      <c r="AO3" s="4">
        <f>Table1[[#This Row],[FPR]]/Table1[[#This Row],[FP]]</f>
        <v>4.9304802287742831E-7</v>
      </c>
    </row>
    <row r="4" spans="1:41" x14ac:dyDescent="0.3">
      <c r="A4" t="s">
        <v>12</v>
      </c>
      <c r="B4" t="s">
        <v>17</v>
      </c>
      <c r="C4" t="s">
        <v>14</v>
      </c>
      <c r="D4">
        <v>0</v>
      </c>
      <c r="E4" s="2">
        <v>0.54647760000000001</v>
      </c>
      <c r="F4">
        <v>27</v>
      </c>
      <c r="J4">
        <v>2033600</v>
      </c>
      <c r="K4">
        <v>5400</v>
      </c>
      <c r="L4">
        <f>Table1[[#This Row],[Total]]-Table1[[#This Row],[PosAct]]</f>
        <v>2028200</v>
      </c>
      <c r="M4">
        <v>3990</v>
      </c>
      <c r="N4">
        <f>Table1[[#This Row],[Total]]-Table1[[#This Row],[PosPre]]</f>
        <v>2029610</v>
      </c>
      <c r="O4">
        <v>3456</v>
      </c>
      <c r="P4">
        <f>Table1[[#This Row],[PosPre]]-Table1[[#This Row],[TP]]</f>
        <v>534</v>
      </c>
      <c r="Q4">
        <f>Table1[[#This Row],[PosAct]]-Table1[[#This Row],[TP]]</f>
        <v>1944</v>
      </c>
      <c r="R4">
        <f>Table1[[#This Row],[NegAct]]-Table1[[#This Row],[FP]]</f>
        <v>2027666</v>
      </c>
      <c r="S4" t="str">
        <f>IF(SUM(Table1[[#This Row],[TP]:[TN]])=Table1[[#This Row],[Total]],"","ERROR")</f>
        <v/>
      </c>
      <c r="T4" s="1">
        <f>Table1[[#This Row],[FP]]/(Table1[[#This Row],[FP]]+Table1[[#This Row],[TN]])</f>
        <v>2.6328764421654671E-4</v>
      </c>
      <c r="U4" s="1">
        <f>1-Table1[[#This Row],[FPR]]</f>
        <v>0.99973671235578343</v>
      </c>
      <c r="V4" s="1">
        <f>Table1[[#This Row],[FP]]/(Table1[[#This Row],[FP]]+Table1[[#This Row],[TP]])</f>
        <v>0.13383458646616542</v>
      </c>
      <c r="W4" s="1">
        <f>1-Table1[[#This Row],[FDR]]</f>
        <v>0.86616541353383458</v>
      </c>
      <c r="X4" s="1">
        <f>Table1[[#This Row],[FN]]/(Table1[[#This Row],[FN]]+Table1[[#This Row],[TP]])</f>
        <v>0.36</v>
      </c>
      <c r="Y4" s="1">
        <f>1-Table1[[#This Row],[FNR]]</f>
        <v>0.64</v>
      </c>
      <c r="Z4" s="1">
        <f>Table1[[#This Row],[TN]]/(Table1[[#This Row],[TN]]+Table1[[#This Row],[FN]])</f>
        <v>0.99904218051743932</v>
      </c>
      <c r="AA4" s="1">
        <f>1-Table1[[#This Row],[NPV]]</f>
        <v>9.578194825606845E-4</v>
      </c>
      <c r="AB4" s="1">
        <f>Table1[[#This Row],[FNR]]/Table1[[#This Row],[FPR]]</f>
        <v>1367.325842696629</v>
      </c>
      <c r="AC4" s="1">
        <f>Table1[[#This Row],[Sensitivity]]/Table1[[#This Row],[Specificity]]</f>
        <v>0.64016854846902793</v>
      </c>
      <c r="AD4" s="1">
        <f>(Table1[[#This Row],[Sensitivity]]+Table1[[#This Row],[Specificity]])/2</f>
        <v>0.81986835617789167</v>
      </c>
      <c r="AE4" s="1">
        <f>(0.95*Table1[[#This Row],[Specificity]]+0.8*Table1[[#This Row],[Sensitivity]])/SUM(0.95,0.8)</f>
        <v>0.83528564385028237</v>
      </c>
      <c r="AF4" s="1">
        <f>AVERAGE((Table1[[#This Row],[Specificity]]-0.95)^2,(Table1[[#This Row],[Sensitivity]]-0.8)^2)</f>
        <v>1.4036870277980978E-2</v>
      </c>
      <c r="AG4" s="1">
        <f>2*(Table1[[#This Row],[PPV]]*Table1[[#This Row],[Sensitivity]])/(Table1[[#This Row],[PPV]]+Table1[[#This Row],[Sensitivity]])</f>
        <v>0.73610223642172534</v>
      </c>
      <c r="AH4" s="1">
        <f>Table1[[#This Row],[Sensitivity]]/Table1[[#This Row],[FPR]]</f>
        <v>2430.8014981273409</v>
      </c>
      <c r="AI4" s="1">
        <f>Table1[[#This Row],[FNR]]/Table1[[#This Row],[Specificity]]</f>
        <v>0.36009480851382819</v>
      </c>
      <c r="AJ4" s="1">
        <f>Table1[[#This Row],[LRPlus]]/Table1[[#This Row],[LRMinus]]</f>
        <v>6750.4486059092806</v>
      </c>
      <c r="AK4" s="1">
        <f>SQRT(Table1[[#This Row],[PPV]]*Table1[[#This Row],[Sensitivity]])</f>
        <v>0.7445440649563021</v>
      </c>
      <c r="AL4" s="1">
        <f>SQRT(Table1[[#This Row],[Sensitivity]]*Table1[[#This Row],[Specificity]]*Table1[[#This Row],[PPV]]*Table1[[#This Row],[NPV]]) - SQRT(Table1[[#This Row],[FNR]]*Table1[[#This Row],[FPR]]*Table1[[#This Row],[FOR]]*Table1[[#This Row],[FDR]])</f>
        <v>0.74397920785706051</v>
      </c>
      <c r="AM4" s="1">
        <f>Table1[[#This Row],[TP]]/(Table1[[#This Row],[TP]]+Table1[[#This Row],[FN]]+Table1[[#This Row],[FP]])</f>
        <v>0.58240647118301314</v>
      </c>
      <c r="AN4" s="1">
        <f>Table1[[#This Row],[Specificity]]+Table1[[#This Row],[Sensitivity]]-1</f>
        <v>0.63973671235578333</v>
      </c>
      <c r="AO4" s="4">
        <f>Table1[[#This Row],[FPR]]/Table1[[#This Row],[FP]]</f>
        <v>4.9304802287742831E-7</v>
      </c>
    </row>
    <row r="5" spans="1:41" x14ac:dyDescent="0.3">
      <c r="A5" t="s">
        <v>12</v>
      </c>
      <c r="B5" t="s">
        <v>18</v>
      </c>
      <c r="C5" t="s">
        <v>14</v>
      </c>
      <c r="D5">
        <v>0</v>
      </c>
      <c r="E5" s="2">
        <v>0.54647760000000001</v>
      </c>
      <c r="F5">
        <v>64</v>
      </c>
      <c r="J5">
        <v>2033600</v>
      </c>
      <c r="K5">
        <v>5400</v>
      </c>
      <c r="L5">
        <f>Table1[[#This Row],[Total]]-Table1[[#This Row],[PosAct]]</f>
        <v>2028200</v>
      </c>
      <c r="M5">
        <v>3456</v>
      </c>
      <c r="N5">
        <f>Table1[[#This Row],[Total]]-Table1[[#This Row],[PosPre]]</f>
        <v>2030144</v>
      </c>
      <c r="O5">
        <v>3024</v>
      </c>
      <c r="P5">
        <f>Table1[[#This Row],[PosPre]]-Table1[[#This Row],[TP]]</f>
        <v>432</v>
      </c>
      <c r="Q5">
        <f>Table1[[#This Row],[PosAct]]-Table1[[#This Row],[TP]]</f>
        <v>2376</v>
      </c>
      <c r="R5">
        <f>Table1[[#This Row],[NegAct]]-Table1[[#This Row],[FP]]</f>
        <v>2027768</v>
      </c>
      <c r="S5" t="str">
        <f>IF(SUM(Table1[[#This Row],[TP]:[TN]])=Table1[[#This Row],[Total]],"","ERROR")</f>
        <v/>
      </c>
      <c r="T5" s="1">
        <f>Table1[[#This Row],[FP]]/(Table1[[#This Row],[FP]]+Table1[[#This Row],[TN]])</f>
        <v>2.12996745883049E-4</v>
      </c>
      <c r="U5" s="1">
        <f>1-Table1[[#This Row],[FPR]]</f>
        <v>0.99978700325411696</v>
      </c>
      <c r="V5" s="1">
        <f>Table1[[#This Row],[FP]]/(Table1[[#This Row],[FP]]+Table1[[#This Row],[TP]])</f>
        <v>0.125</v>
      </c>
      <c r="W5" s="1">
        <f>1-Table1[[#This Row],[FDR]]</f>
        <v>0.875</v>
      </c>
      <c r="X5" s="1">
        <f>Table1[[#This Row],[FN]]/(Table1[[#This Row],[FN]]+Table1[[#This Row],[TP]])</f>
        <v>0.44</v>
      </c>
      <c r="Y5" s="1">
        <f>1-Table1[[#This Row],[FNR]]</f>
        <v>0.56000000000000005</v>
      </c>
      <c r="Z5" s="1">
        <f>Table1[[#This Row],[TN]]/(Table1[[#This Row],[TN]]+Table1[[#This Row],[FN]])</f>
        <v>0.99882963967088045</v>
      </c>
      <c r="AA5" s="1">
        <f>1-Table1[[#This Row],[NPV]]</f>
        <v>1.1703603291195463E-3</v>
      </c>
      <c r="AB5" s="1">
        <f>Table1[[#This Row],[FNR]]/Table1[[#This Row],[FPR]]</f>
        <v>2065.7592592592591</v>
      </c>
      <c r="AC5" s="1">
        <f>Table1[[#This Row],[Sensitivity]]/Table1[[#This Row],[Specificity]]</f>
        <v>0.56011930358897077</v>
      </c>
      <c r="AD5" s="1">
        <f>(Table1[[#This Row],[Sensitivity]]+Table1[[#This Row],[Specificity]])/2</f>
        <v>0.77989350162705851</v>
      </c>
      <c r="AE5" s="1">
        <f>(0.95*Table1[[#This Row],[Specificity]]+0.8*Table1[[#This Row],[Sensitivity]])/SUM(0.95,0.8)</f>
        <v>0.79874151605223498</v>
      </c>
      <c r="AF5" s="1">
        <f>AVERAGE((Table1[[#This Row],[Specificity]]-0.95)^2,(Table1[[#This Row],[Sensitivity]]-0.8)^2)</f>
        <v>3.0039372846512726E-2</v>
      </c>
      <c r="AG5" s="1">
        <f>2*(Table1[[#This Row],[PPV]]*Table1[[#This Row],[Sensitivity]])/(Table1[[#This Row],[PPV]]+Table1[[#This Row],[Sensitivity]])</f>
        <v>0.68292682926829273</v>
      </c>
      <c r="AH5" s="1">
        <f>Table1[[#This Row],[Sensitivity]]/Table1[[#This Row],[FPR]]</f>
        <v>2629.1481481481487</v>
      </c>
      <c r="AI5" s="1">
        <f>Table1[[#This Row],[FNR]]/Table1[[#This Row],[Specificity]]</f>
        <v>0.44009373853419131</v>
      </c>
      <c r="AJ5" s="1">
        <f>Table1[[#This Row],[LRPlus]]/Table1[[#This Row],[LRMinus]]</f>
        <v>5974.0639730639741</v>
      </c>
      <c r="AK5" s="1">
        <f>SQRT(Table1[[#This Row],[PPV]]*Table1[[#This Row],[Sensitivity]])</f>
        <v>0.70000000000000007</v>
      </c>
      <c r="AL5" s="1">
        <f>SQRT(Table1[[#This Row],[Sensitivity]]*Table1[[#This Row],[Specificity]]*Table1[[#This Row],[PPV]]*Table1[[#This Row],[NPV]]) - SQRT(Table1[[#This Row],[FNR]]*Table1[[#This Row],[FPR]]*Table1[[#This Row],[FOR]]*Table1[[#This Row],[FDR]])</f>
        <v>0.69939865266240464</v>
      </c>
      <c r="AM5" s="1">
        <f>Table1[[#This Row],[TP]]/(Table1[[#This Row],[TP]]+Table1[[#This Row],[FN]]+Table1[[#This Row],[FP]])</f>
        <v>0.51851851851851849</v>
      </c>
      <c r="AN5" s="1">
        <f>Table1[[#This Row],[Specificity]]+Table1[[#This Row],[Sensitivity]]-1</f>
        <v>0.55978700325411701</v>
      </c>
      <c r="AO5" s="4">
        <f>Table1[[#This Row],[FPR]]/Table1[[#This Row],[FP]]</f>
        <v>4.930480228774282E-7</v>
      </c>
    </row>
    <row r="6" spans="1:41" x14ac:dyDescent="0.3">
      <c r="A6" t="s">
        <v>12</v>
      </c>
      <c r="B6" t="s">
        <v>16</v>
      </c>
      <c r="C6" t="s">
        <v>14</v>
      </c>
      <c r="D6">
        <v>0</v>
      </c>
      <c r="E6" s="2">
        <v>0.54647760000000001</v>
      </c>
      <c r="F6">
        <v>125</v>
      </c>
      <c r="J6">
        <v>2033600</v>
      </c>
      <c r="K6">
        <v>5400</v>
      </c>
      <c r="L6">
        <f>Table1[[#This Row],[Total]]-Table1[[#This Row],[PosAct]]</f>
        <v>2028200</v>
      </c>
      <c r="M6">
        <v>2224</v>
      </c>
      <c r="N6">
        <f>Table1[[#This Row],[Total]]-Table1[[#This Row],[PosPre]]</f>
        <v>2031376</v>
      </c>
      <c r="O6">
        <v>2000</v>
      </c>
      <c r="P6">
        <f>Table1[[#This Row],[PosPre]]-Table1[[#This Row],[TP]]</f>
        <v>224</v>
      </c>
      <c r="Q6">
        <f>Table1[[#This Row],[PosAct]]-Table1[[#This Row],[TP]]</f>
        <v>3400</v>
      </c>
      <c r="R6">
        <f>Table1[[#This Row],[NegAct]]-Table1[[#This Row],[FP]]</f>
        <v>2027976</v>
      </c>
      <c r="S6" t="str">
        <f>IF(SUM(Table1[[#This Row],[TP]:[TN]])=Table1[[#This Row],[Total]],"","ERROR")</f>
        <v/>
      </c>
      <c r="T6" s="1">
        <f>Table1[[#This Row],[FP]]/(Table1[[#This Row],[FP]]+Table1[[#This Row],[TN]])</f>
        <v>1.1044275712454392E-4</v>
      </c>
      <c r="U6" s="1">
        <f>1-Table1[[#This Row],[FPR]]</f>
        <v>0.99988955724287543</v>
      </c>
      <c r="V6" s="1">
        <f>Table1[[#This Row],[FP]]/(Table1[[#This Row],[FP]]+Table1[[#This Row],[TP]])</f>
        <v>0.10071942446043165</v>
      </c>
      <c r="W6" s="1">
        <f>1-Table1[[#This Row],[FDR]]</f>
        <v>0.89928057553956831</v>
      </c>
      <c r="X6" s="1">
        <f>Table1[[#This Row],[FN]]/(Table1[[#This Row],[FN]]+Table1[[#This Row],[TP]])</f>
        <v>0.62962962962962965</v>
      </c>
      <c r="Y6" s="1">
        <f>1-Table1[[#This Row],[FNR]]</f>
        <v>0.37037037037037035</v>
      </c>
      <c r="Z6" s="1">
        <f>Table1[[#This Row],[TN]]/(Table1[[#This Row],[TN]]+Table1[[#This Row],[FN]])</f>
        <v>0.99832625766967809</v>
      </c>
      <c r="AA6" s="1">
        <f>1-Table1[[#This Row],[NPV]]</f>
        <v>1.6737423303219146E-3</v>
      </c>
      <c r="AB6" s="1">
        <f>Table1[[#This Row],[FNR]]/Table1[[#This Row],[FPR]]</f>
        <v>5700.9589947089953</v>
      </c>
      <c r="AC6" s="1">
        <f>Table1[[#This Row],[Sensitivity]]/Table1[[#This Row],[Specificity]]</f>
        <v>0.3704112796133609</v>
      </c>
      <c r="AD6" s="1">
        <f>(Table1[[#This Row],[Sensitivity]]+Table1[[#This Row],[Specificity]])/2</f>
        <v>0.68512996380662283</v>
      </c>
      <c r="AE6" s="1">
        <f>(0.95*Table1[[#This Row],[Specificity]]+0.8*Table1[[#This Row],[Sensitivity]])/SUM(0.95,0.8)</f>
        <v>0.71210935752973015</v>
      </c>
      <c r="AF6" s="1">
        <f>AVERAGE((Table1[[#This Row],[Specificity]]-0.95)^2,(Table1[[#This Row],[Sensitivity]]-0.8)^2)</f>
        <v>9.3535293288791468E-2</v>
      </c>
      <c r="AG6" s="1">
        <f>2*(Table1[[#This Row],[PPV]]*Table1[[#This Row],[Sensitivity]])/(Table1[[#This Row],[PPV]]+Table1[[#This Row],[Sensitivity]])</f>
        <v>0.52465897166841546</v>
      </c>
      <c r="AH6" s="1">
        <f>Table1[[#This Row],[Sensitivity]]/Table1[[#This Row],[FPR]]</f>
        <v>3353.5052910052909</v>
      </c>
      <c r="AI6" s="1">
        <f>Table1[[#This Row],[FNR]]/Table1[[#This Row],[Specificity]]</f>
        <v>0.62969917534271358</v>
      </c>
      <c r="AJ6" s="1">
        <f>Table1[[#This Row],[LRPlus]]/Table1[[#This Row],[LRMinus]]</f>
        <v>5325.5672268907556</v>
      </c>
      <c r="AK6" s="1">
        <f>SQRT(Table1[[#This Row],[PPV]]*Table1[[#This Row],[Sensitivity]])</f>
        <v>0.57711946755370302</v>
      </c>
      <c r="AL6" s="1">
        <f>SQRT(Table1[[#This Row],[Sensitivity]]*Table1[[#This Row],[Specificity]]*Table1[[#This Row],[PPV]]*Table1[[#This Row],[NPV]]) - SQRT(Table1[[#This Row],[FNR]]*Table1[[#This Row],[FPR]]*Table1[[#This Row],[FOR]]*Table1[[#This Row],[FDR]])</f>
        <v>0.57649617612713644</v>
      </c>
      <c r="AM6" s="1">
        <f>Table1[[#This Row],[TP]]/(Table1[[#This Row],[TP]]+Table1[[#This Row],[FN]]+Table1[[#This Row],[FP]])</f>
        <v>0.35561877667140823</v>
      </c>
      <c r="AN6" s="1">
        <f>Table1[[#This Row],[Specificity]]+Table1[[#This Row],[Sensitivity]]-1</f>
        <v>0.37025992761324567</v>
      </c>
      <c r="AO6" s="4">
        <f>Table1[[#This Row],[FPR]]/Table1[[#This Row],[FP]]</f>
        <v>4.930480228774282E-7</v>
      </c>
    </row>
    <row r="7" spans="1:41" x14ac:dyDescent="0.3">
      <c r="A7" t="s">
        <v>12</v>
      </c>
      <c r="B7" t="s">
        <v>19</v>
      </c>
      <c r="C7" t="s">
        <v>14</v>
      </c>
      <c r="D7">
        <v>0</v>
      </c>
      <c r="E7" s="2">
        <v>0.8061161</v>
      </c>
      <c r="F7">
        <v>1</v>
      </c>
      <c r="J7">
        <v>2033600</v>
      </c>
      <c r="K7">
        <v>5400</v>
      </c>
      <c r="L7">
        <f>Table1[[#This Row],[Total]]-Table1[[#This Row],[PosAct]]</f>
        <v>2028200</v>
      </c>
      <c r="M7">
        <v>24855</v>
      </c>
      <c r="N7">
        <f>Table1[[#This Row],[Total]]-Table1[[#This Row],[PosPre]]</f>
        <v>2008745</v>
      </c>
      <c r="O7">
        <v>1800</v>
      </c>
      <c r="P7">
        <f>Table1[[#This Row],[PosPre]]-Table1[[#This Row],[TP]]</f>
        <v>23055</v>
      </c>
      <c r="Q7">
        <f>Table1[[#This Row],[PosAct]]-Table1[[#This Row],[TP]]</f>
        <v>3600</v>
      </c>
      <c r="R7">
        <f>Table1[[#This Row],[NegAct]]-Table1[[#This Row],[FP]]</f>
        <v>2005145</v>
      </c>
      <c r="S7" t="str">
        <f>IF(SUM(Table1[[#This Row],[TP]:[TN]])=Table1[[#This Row],[Total]],"","ERROR")</f>
        <v/>
      </c>
      <c r="T7" s="1">
        <f>Table1[[#This Row],[FP]]/(Table1[[#This Row],[FP]]+Table1[[#This Row],[TN]])</f>
        <v>1.1367222167439109E-2</v>
      </c>
      <c r="U7" s="1">
        <f>1-Table1[[#This Row],[FPR]]</f>
        <v>0.98863277783256087</v>
      </c>
      <c r="V7" s="1">
        <f>Table1[[#This Row],[FP]]/(Table1[[#This Row],[FP]]+Table1[[#This Row],[TP]])</f>
        <v>0.92757996378998187</v>
      </c>
      <c r="W7" s="1">
        <f>1-Table1[[#This Row],[FDR]]</f>
        <v>7.2420036210018135E-2</v>
      </c>
      <c r="X7" s="1">
        <f>Table1[[#This Row],[FN]]/(Table1[[#This Row],[FN]]+Table1[[#This Row],[TP]])</f>
        <v>0.66666666666666663</v>
      </c>
      <c r="Y7" s="1">
        <f>1-Table1[[#This Row],[FNR]]</f>
        <v>0.33333333333333337</v>
      </c>
      <c r="Z7" s="1">
        <f>Table1[[#This Row],[TN]]/(Table1[[#This Row],[TN]]+Table1[[#This Row],[FN]])</f>
        <v>0.9982078362360578</v>
      </c>
      <c r="AA7" s="1">
        <f>1-Table1[[#This Row],[NPV]]</f>
        <v>1.7921637639422006E-3</v>
      </c>
      <c r="AB7" s="1">
        <f>Table1[[#This Row],[FNR]]/Table1[[#This Row],[FPR]]</f>
        <v>58.648160196631238</v>
      </c>
      <c r="AC7" s="1">
        <f>Table1[[#This Row],[Sensitivity]]/Table1[[#This Row],[Specificity]]</f>
        <v>0.33716597386556424</v>
      </c>
      <c r="AD7" s="1">
        <f>(Table1[[#This Row],[Sensitivity]]+Table1[[#This Row],[Specificity]])/2</f>
        <v>0.66098305558294712</v>
      </c>
      <c r="AE7" s="1">
        <f>(0.95*Table1[[#This Row],[Specificity]]+0.8*Table1[[#This Row],[Sensitivity]])/SUM(0.95,0.8)</f>
        <v>0.6890673174900569</v>
      </c>
      <c r="AF7" s="1">
        <f>AVERAGE((Table1[[#This Row],[Specificity]]-0.95)^2,(Table1[[#This Row],[Sensitivity]]-0.8)^2)</f>
        <v>0.10963513465041889</v>
      </c>
      <c r="AG7" s="1">
        <f>2*(Table1[[#This Row],[PPV]]*Table1[[#This Row],[Sensitivity]])/(Table1[[#This Row],[PPV]]+Table1[[#This Row],[Sensitivity]])</f>
        <v>0.11898859692612795</v>
      </c>
      <c r="AH7" s="1">
        <f>Table1[[#This Row],[Sensitivity]]/Table1[[#This Row],[FPR]]</f>
        <v>29.324080098315623</v>
      </c>
      <c r="AI7" s="1">
        <f>Table1[[#This Row],[FNR]]/Table1[[#This Row],[Specificity]]</f>
        <v>0.67433194773112837</v>
      </c>
      <c r="AJ7" s="1">
        <f>Table1[[#This Row],[LRPlus]]/Table1[[#This Row],[LRMinus]]</f>
        <v>43.486120147473429</v>
      </c>
      <c r="AK7" s="1">
        <f>SQRT(Table1[[#This Row],[PPV]]*Table1[[#This Row],[Sensitivity]])</f>
        <v>0.15537056371786145</v>
      </c>
      <c r="AL7" s="1">
        <f>SQRT(Table1[[#This Row],[Sensitivity]]*Table1[[#This Row],[Specificity]]*Table1[[#This Row],[PPV]]*Table1[[#This Row],[NPV]]) - SQRT(Table1[[#This Row],[FNR]]*Table1[[#This Row],[FPR]]*Table1[[#This Row],[FOR]]*Table1[[#This Row],[FDR]])</f>
        <v>0.15079715326021206</v>
      </c>
      <c r="AM7" s="1">
        <f>Table1[[#This Row],[TP]]/(Table1[[#This Row],[TP]]+Table1[[#This Row],[FN]]+Table1[[#This Row],[FP]])</f>
        <v>6.3257775434897204E-2</v>
      </c>
      <c r="AN7" s="1">
        <f>Table1[[#This Row],[Specificity]]+Table1[[#This Row],[Sensitivity]]-1</f>
        <v>0.32196611116589424</v>
      </c>
      <c r="AO7" s="4">
        <f>Table1[[#This Row],[FPR]]/Table1[[#This Row],[FP]]</f>
        <v>4.9304802287742831E-7</v>
      </c>
    </row>
    <row r="8" spans="1:41" x14ac:dyDescent="0.3">
      <c r="A8" t="s">
        <v>12</v>
      </c>
      <c r="B8" t="s">
        <v>20</v>
      </c>
      <c r="C8" t="s">
        <v>14</v>
      </c>
      <c r="D8">
        <v>0</v>
      </c>
      <c r="E8" s="2">
        <v>0.8061161</v>
      </c>
      <c r="F8">
        <v>8</v>
      </c>
      <c r="J8">
        <v>2033600</v>
      </c>
      <c r="K8">
        <v>5400</v>
      </c>
      <c r="L8">
        <f>Table1[[#This Row],[Total]]-Table1[[#This Row],[PosAct]]</f>
        <v>2028200</v>
      </c>
      <c r="M8">
        <v>1842</v>
      </c>
      <c r="N8">
        <f>Table1[[#This Row],[Total]]-Table1[[#This Row],[PosPre]]</f>
        <v>2031758</v>
      </c>
      <c r="O8">
        <v>1792</v>
      </c>
      <c r="P8">
        <f>Table1[[#This Row],[PosPre]]-Table1[[#This Row],[TP]]</f>
        <v>50</v>
      </c>
      <c r="Q8">
        <f>Table1[[#This Row],[PosAct]]-Table1[[#This Row],[TP]]</f>
        <v>3608</v>
      </c>
      <c r="R8">
        <f>Table1[[#This Row],[NegAct]]-Table1[[#This Row],[FP]]</f>
        <v>2028150</v>
      </c>
      <c r="S8" t="str">
        <f>IF(SUM(Table1[[#This Row],[TP]:[TN]])=Table1[[#This Row],[Total]],"","ERROR")</f>
        <v/>
      </c>
      <c r="T8" s="1">
        <f>Table1[[#This Row],[FP]]/(Table1[[#This Row],[FP]]+Table1[[#This Row],[TN]])</f>
        <v>2.4652401143871413E-5</v>
      </c>
      <c r="U8" s="1">
        <f>1-Table1[[#This Row],[FPR]]</f>
        <v>0.99997534759885609</v>
      </c>
      <c r="V8" s="1">
        <f>Table1[[#This Row],[FP]]/(Table1[[#This Row],[FP]]+Table1[[#This Row],[TP]])</f>
        <v>2.714440825190011E-2</v>
      </c>
      <c r="W8" s="1">
        <f>1-Table1[[#This Row],[FDR]]</f>
        <v>0.97285559174809988</v>
      </c>
      <c r="X8" s="1">
        <f>Table1[[#This Row],[FN]]/(Table1[[#This Row],[FN]]+Table1[[#This Row],[TP]])</f>
        <v>0.66814814814814816</v>
      </c>
      <c r="Y8" s="1">
        <f>1-Table1[[#This Row],[FNR]]</f>
        <v>0.33185185185185184</v>
      </c>
      <c r="Z8" s="1">
        <f>Table1[[#This Row],[TN]]/(Table1[[#This Row],[TN]]+Table1[[#This Row],[FN]])</f>
        <v>0.99822419796058393</v>
      </c>
      <c r="AA8" s="1">
        <f>1-Table1[[#This Row],[NPV]]</f>
        <v>1.7758020394160745E-3</v>
      </c>
      <c r="AB8" s="1">
        <f>Table1[[#This Row],[FNR]]/Table1[[#This Row],[FPR]]</f>
        <v>27102.761481481481</v>
      </c>
      <c r="AC8" s="1">
        <f>Table1[[#This Row],[Sensitivity]]/Table1[[#This Row],[Specificity]]</f>
        <v>0.33186003299850897</v>
      </c>
      <c r="AD8" s="1">
        <f>(Table1[[#This Row],[Sensitivity]]+Table1[[#This Row],[Specificity]])/2</f>
        <v>0.66591359972535402</v>
      </c>
      <c r="AE8" s="1">
        <f>(0.95*Table1[[#This Row],[Specificity]]+0.8*Table1[[#This Row],[Sensitivity]])/SUM(0.95,0.8)</f>
        <v>0.69454746382879695</v>
      </c>
      <c r="AF8" s="1">
        <f>AVERAGE((Table1[[#This Row],[Specificity]]-0.95)^2,(Table1[[#This Row],[Sensitivity]]-0.8)^2)</f>
        <v>0.11083011199108352</v>
      </c>
      <c r="AG8" s="1">
        <f>2*(Table1[[#This Row],[PPV]]*Table1[[#This Row],[Sensitivity]])/(Table1[[#This Row],[PPV]]+Table1[[#This Row],[Sensitivity]])</f>
        <v>0.49489091411212371</v>
      </c>
      <c r="AH8" s="1">
        <f>Table1[[#This Row],[Sensitivity]]/Table1[[#This Row],[FPR]]</f>
        <v>13461.238518518518</v>
      </c>
      <c r="AI8" s="1">
        <f>Table1[[#This Row],[FNR]]/Table1[[#This Row],[Specificity]]</f>
        <v>0.66816462001039079</v>
      </c>
      <c r="AJ8" s="1">
        <f>Table1[[#This Row],[LRPlus]]/Table1[[#This Row],[LRMinus]]</f>
        <v>20146.589800443457</v>
      </c>
      <c r="AK8" s="1">
        <f>SQRT(Table1[[#This Row],[PPV]]*Table1[[#This Row],[Sensitivity]])</f>
        <v>0.56819356711074798</v>
      </c>
      <c r="AL8" s="1">
        <f>SQRT(Table1[[#This Row],[Sensitivity]]*Table1[[#This Row],[Specificity]]*Table1[[#This Row],[PPV]]*Table1[[#This Row],[NPV]]) - SQRT(Table1[[#This Row],[FNR]]*Table1[[#This Row],[FPR]]*Table1[[#This Row],[FOR]]*Table1[[#This Row],[FDR]])</f>
        <v>0.5676536682363772</v>
      </c>
      <c r="AM8" s="1">
        <f>Table1[[#This Row],[TP]]/(Table1[[#This Row],[TP]]+Table1[[#This Row],[FN]]+Table1[[#This Row],[FP]])</f>
        <v>0.32880733944954127</v>
      </c>
      <c r="AN8" s="1">
        <f>Table1[[#This Row],[Specificity]]+Table1[[#This Row],[Sensitivity]]-1</f>
        <v>0.33182719945070804</v>
      </c>
      <c r="AO8" s="4">
        <f>Table1[[#This Row],[FPR]]/Table1[[#This Row],[FP]]</f>
        <v>4.9304802287742831E-7</v>
      </c>
    </row>
    <row r="9" spans="1:41" x14ac:dyDescent="0.3">
      <c r="A9" t="s">
        <v>12</v>
      </c>
      <c r="B9" t="s">
        <v>22</v>
      </c>
      <c r="C9" t="s">
        <v>14</v>
      </c>
      <c r="D9">
        <v>0</v>
      </c>
      <c r="E9" s="2">
        <v>0.8061161</v>
      </c>
      <c r="F9">
        <v>27</v>
      </c>
      <c r="J9">
        <v>2033600</v>
      </c>
      <c r="K9">
        <v>5400</v>
      </c>
      <c r="L9">
        <f>Table1[[#This Row],[Total]]-Table1[[#This Row],[PosAct]]</f>
        <v>2028200</v>
      </c>
      <c r="M9">
        <v>1775</v>
      </c>
      <c r="N9">
        <f>Table1[[#This Row],[Total]]-Table1[[#This Row],[PosPre]]</f>
        <v>2031825</v>
      </c>
      <c r="O9">
        <v>1728</v>
      </c>
      <c r="P9">
        <f>Table1[[#This Row],[PosPre]]-Table1[[#This Row],[TP]]</f>
        <v>47</v>
      </c>
      <c r="Q9">
        <f>Table1[[#This Row],[PosAct]]-Table1[[#This Row],[TP]]</f>
        <v>3672</v>
      </c>
      <c r="R9">
        <f>Table1[[#This Row],[NegAct]]-Table1[[#This Row],[FP]]</f>
        <v>2028153</v>
      </c>
      <c r="S9" t="str">
        <f>IF(SUM(Table1[[#This Row],[TP]:[TN]])=Table1[[#This Row],[Total]],"","ERROR")</f>
        <v/>
      </c>
      <c r="T9" s="1">
        <f>Table1[[#This Row],[FP]]/(Table1[[#This Row],[FP]]+Table1[[#This Row],[TN]])</f>
        <v>2.3173257075239128E-5</v>
      </c>
      <c r="U9" s="1">
        <f>1-Table1[[#This Row],[FPR]]</f>
        <v>0.99997682674292476</v>
      </c>
      <c r="V9" s="1">
        <f>Table1[[#This Row],[FP]]/(Table1[[#This Row],[FP]]+Table1[[#This Row],[TP]])</f>
        <v>2.647887323943662E-2</v>
      </c>
      <c r="W9" s="1">
        <f>1-Table1[[#This Row],[FDR]]</f>
        <v>0.97352112676056335</v>
      </c>
      <c r="X9" s="1">
        <f>Table1[[#This Row],[FN]]/(Table1[[#This Row],[FN]]+Table1[[#This Row],[TP]])</f>
        <v>0.68</v>
      </c>
      <c r="Y9" s="1">
        <f>1-Table1[[#This Row],[FNR]]</f>
        <v>0.31999999999999995</v>
      </c>
      <c r="Z9" s="1">
        <f>Table1[[#This Row],[TN]]/(Table1[[#This Row],[TN]]+Table1[[#This Row],[FN]])</f>
        <v>0.99819275774242366</v>
      </c>
      <c r="AA9" s="1">
        <f>1-Table1[[#This Row],[NPV]]</f>
        <v>1.8072422575763358E-3</v>
      </c>
      <c r="AB9" s="1">
        <f>Table1[[#This Row],[FNR]]/Table1[[#This Row],[FPR]]</f>
        <v>29344.170212765959</v>
      </c>
      <c r="AC9" s="1">
        <f>Table1[[#This Row],[Sensitivity]]/Table1[[#This Row],[Specificity]]</f>
        <v>0.32000741561410795</v>
      </c>
      <c r="AD9" s="1">
        <f>(Table1[[#This Row],[Sensitivity]]+Table1[[#This Row],[Specificity]])/2</f>
        <v>0.65998841337146241</v>
      </c>
      <c r="AE9" s="1">
        <f>(0.95*Table1[[#This Row],[Specificity]]+0.8*Table1[[#This Row],[Sensitivity]])/SUM(0.95,0.8)</f>
        <v>0.68913027737473054</v>
      </c>
      <c r="AF9" s="1">
        <f>AVERAGE((Table1[[#This Row],[Specificity]]-0.95)^2,(Table1[[#This Row],[Sensitivity]]-0.8)^2)</f>
        <v>0.1164488416056462</v>
      </c>
      <c r="AG9" s="1">
        <f>2*(Table1[[#This Row],[PPV]]*Table1[[#This Row],[Sensitivity]])/(Table1[[#This Row],[PPV]]+Table1[[#This Row],[Sensitivity]])</f>
        <v>0.48167247386759582</v>
      </c>
      <c r="AH9" s="1">
        <f>Table1[[#This Row],[Sensitivity]]/Table1[[#This Row],[FPR]]</f>
        <v>13809.021276595742</v>
      </c>
      <c r="AI9" s="1">
        <f>Table1[[#This Row],[FNR]]/Table1[[#This Row],[Specificity]]</f>
        <v>0.68001575817997961</v>
      </c>
      <c r="AJ9" s="1">
        <f>Table1[[#This Row],[LRPlus]]/Table1[[#This Row],[LRMinus]]</f>
        <v>20306.913642052557</v>
      </c>
      <c r="AK9" s="1">
        <f>SQRT(Table1[[#This Row],[PPV]]*Table1[[#This Row],[Sensitivity]])</f>
        <v>0.55814582374445865</v>
      </c>
      <c r="AL9" s="1">
        <f>SQRT(Table1[[#This Row],[Sensitivity]]*Table1[[#This Row],[Specificity]]*Table1[[#This Row],[PPV]]*Table1[[#This Row],[NPV]]) - SQRT(Table1[[#This Row],[FNR]]*Table1[[#This Row],[FPR]]*Table1[[#This Row],[FOR]]*Table1[[#This Row],[FDR]])</f>
        <v>0.55760732174650174</v>
      </c>
      <c r="AM9" s="1">
        <f>Table1[[#This Row],[TP]]/(Table1[[#This Row],[TP]]+Table1[[#This Row],[FN]]+Table1[[#This Row],[FP]])</f>
        <v>0.31723884707178263</v>
      </c>
      <c r="AN9" s="1">
        <f>Table1[[#This Row],[Specificity]]+Table1[[#This Row],[Sensitivity]]-1</f>
        <v>0.31997682674292482</v>
      </c>
      <c r="AO9" s="4">
        <f>Table1[[#This Row],[FPR]]/Table1[[#This Row],[FP]]</f>
        <v>4.930480228774282E-7</v>
      </c>
    </row>
    <row r="10" spans="1:41" x14ac:dyDescent="0.3">
      <c r="A10" t="s">
        <v>12</v>
      </c>
      <c r="B10" t="s">
        <v>23</v>
      </c>
      <c r="C10" t="s">
        <v>14</v>
      </c>
      <c r="D10">
        <v>0</v>
      </c>
      <c r="E10" s="2">
        <v>0.8061161</v>
      </c>
      <c r="F10">
        <v>64</v>
      </c>
      <c r="J10">
        <v>2033600</v>
      </c>
      <c r="K10">
        <v>5400</v>
      </c>
      <c r="L10">
        <f>Table1[[#This Row],[Total]]-Table1[[#This Row],[PosAct]]</f>
        <v>2028200</v>
      </c>
      <c r="M10">
        <v>1550</v>
      </c>
      <c r="N10">
        <f>Table1[[#This Row],[Total]]-Table1[[#This Row],[PosPre]]</f>
        <v>2032050</v>
      </c>
      <c r="O10">
        <v>1512</v>
      </c>
      <c r="P10">
        <f>Table1[[#This Row],[PosPre]]-Table1[[#This Row],[TP]]</f>
        <v>38</v>
      </c>
      <c r="Q10">
        <f>Table1[[#This Row],[PosAct]]-Table1[[#This Row],[TP]]</f>
        <v>3888</v>
      </c>
      <c r="R10">
        <f>Table1[[#This Row],[NegAct]]-Table1[[#This Row],[FP]]</f>
        <v>2028162</v>
      </c>
      <c r="S10" t="str">
        <f>IF(SUM(Table1[[#This Row],[TP]:[TN]])=Table1[[#This Row],[Total]],"","ERROR")</f>
        <v/>
      </c>
      <c r="T10" s="1">
        <f>Table1[[#This Row],[FP]]/(Table1[[#This Row],[FP]]+Table1[[#This Row],[TN]])</f>
        <v>1.8735824869342274E-5</v>
      </c>
      <c r="U10" s="1">
        <f>1-Table1[[#This Row],[FPR]]</f>
        <v>0.99998126417513067</v>
      </c>
      <c r="V10" s="1">
        <f>Table1[[#This Row],[FP]]/(Table1[[#This Row],[FP]]+Table1[[#This Row],[TP]])</f>
        <v>2.4516129032258065E-2</v>
      </c>
      <c r="W10" s="1">
        <f>1-Table1[[#This Row],[FDR]]</f>
        <v>0.97548387096774192</v>
      </c>
      <c r="X10" s="1">
        <f>Table1[[#This Row],[FN]]/(Table1[[#This Row],[FN]]+Table1[[#This Row],[TP]])</f>
        <v>0.72</v>
      </c>
      <c r="Y10" s="1">
        <f>1-Table1[[#This Row],[FNR]]</f>
        <v>0.28000000000000003</v>
      </c>
      <c r="Z10" s="1">
        <f>Table1[[#This Row],[TN]]/(Table1[[#This Row],[TN]]+Table1[[#This Row],[FN]])</f>
        <v>0.99808666125341405</v>
      </c>
      <c r="AA10" s="1">
        <f>1-Table1[[#This Row],[NPV]]</f>
        <v>1.9133387465859464E-3</v>
      </c>
      <c r="AB10" s="1">
        <f>Table1[[#This Row],[FNR]]/Table1[[#This Row],[FPR]]</f>
        <v>38429.052631578947</v>
      </c>
      <c r="AC10" s="1">
        <f>Table1[[#This Row],[Sensitivity]]/Table1[[#This Row],[Specificity]]</f>
        <v>0.28000524612925398</v>
      </c>
      <c r="AD10" s="1">
        <f>(Table1[[#This Row],[Sensitivity]]+Table1[[#This Row],[Specificity]])/2</f>
        <v>0.63999063208756535</v>
      </c>
      <c r="AE10" s="1">
        <f>(0.95*Table1[[#This Row],[Specificity]]+0.8*Table1[[#This Row],[Sensitivity]])/SUM(0.95,0.8)</f>
        <v>0.67084697198078513</v>
      </c>
      <c r="AF10" s="1">
        <f>AVERAGE((Table1[[#This Row],[Specificity]]-0.95)^2,(Table1[[#This Row],[Sensitivity]]-0.8)^2)</f>
        <v>0.13644906338427212</v>
      </c>
      <c r="AG10" s="1">
        <f>2*(Table1[[#This Row],[PPV]]*Table1[[#This Row],[Sensitivity]])/(Table1[[#This Row],[PPV]]+Table1[[#This Row],[Sensitivity]])</f>
        <v>0.43510791366906482</v>
      </c>
      <c r="AH10" s="1">
        <f>Table1[[#This Row],[Sensitivity]]/Table1[[#This Row],[FPR]]</f>
        <v>14944.63157894737</v>
      </c>
      <c r="AI10" s="1">
        <f>Table1[[#This Row],[FNR]]/Table1[[#This Row],[Specificity]]</f>
        <v>0.72001349004665305</v>
      </c>
      <c r="AJ10" s="1">
        <f>Table1[[#This Row],[LRPlus]]/Table1[[#This Row],[LRMinus]]</f>
        <v>20756.043859649126</v>
      </c>
      <c r="AK10" s="1">
        <f>SQRT(Table1[[#This Row],[PPV]]*Table1[[#This Row],[Sensitivity]])</f>
        <v>0.52262365414413436</v>
      </c>
      <c r="AL10" s="1">
        <f>SQRT(Table1[[#This Row],[Sensitivity]]*Table1[[#This Row],[Specificity]]*Table1[[#This Row],[PPV]]*Table1[[#This Row],[NPV]]) - SQRT(Table1[[#This Row],[FNR]]*Table1[[#This Row],[FPR]]*Table1[[#This Row],[FOR]]*Table1[[#This Row],[FDR]])</f>
        <v>0.52209339047236947</v>
      </c>
      <c r="AM10" s="1">
        <f>Table1[[#This Row],[TP]]/(Table1[[#This Row],[TP]]+Table1[[#This Row],[FN]]+Table1[[#This Row],[FP]])</f>
        <v>0.27804339830820152</v>
      </c>
      <c r="AN10" s="1">
        <f>Table1[[#This Row],[Specificity]]+Table1[[#This Row],[Sensitivity]]-1</f>
        <v>0.2799812641751307</v>
      </c>
      <c r="AO10" s="4">
        <f>Table1[[#This Row],[FPR]]/Table1[[#This Row],[FP]]</f>
        <v>4.9304802287742831E-7</v>
      </c>
    </row>
    <row r="11" spans="1:41" x14ac:dyDescent="0.3">
      <c r="A11" t="s">
        <v>12</v>
      </c>
      <c r="B11" t="s">
        <v>21</v>
      </c>
      <c r="C11" t="s">
        <v>14</v>
      </c>
      <c r="D11">
        <v>0</v>
      </c>
      <c r="E11" s="2">
        <v>0.8061161</v>
      </c>
      <c r="F11">
        <v>125</v>
      </c>
      <c r="J11">
        <v>2033600</v>
      </c>
      <c r="K11">
        <v>5400</v>
      </c>
      <c r="L11">
        <f>Table1[[#This Row],[Total]]-Table1[[#This Row],[PosAct]]</f>
        <v>2028200</v>
      </c>
      <c r="M11">
        <v>1025</v>
      </c>
      <c r="N11">
        <f>Table1[[#This Row],[Total]]-Table1[[#This Row],[PosPre]]</f>
        <v>2032575</v>
      </c>
      <c r="O11">
        <v>1000</v>
      </c>
      <c r="P11">
        <f>Table1[[#This Row],[PosPre]]-Table1[[#This Row],[TP]]</f>
        <v>25</v>
      </c>
      <c r="Q11">
        <f>Table1[[#This Row],[PosAct]]-Table1[[#This Row],[TP]]</f>
        <v>4400</v>
      </c>
      <c r="R11">
        <f>Table1[[#This Row],[NegAct]]-Table1[[#This Row],[FP]]</f>
        <v>2028175</v>
      </c>
      <c r="S11" t="str">
        <f>IF(SUM(Table1[[#This Row],[TP]:[TN]])=Table1[[#This Row],[Total]],"","ERROR")</f>
        <v/>
      </c>
      <c r="T11" s="1">
        <f>Table1[[#This Row],[FP]]/(Table1[[#This Row],[FP]]+Table1[[#This Row],[TN]])</f>
        <v>1.2326200571935707E-5</v>
      </c>
      <c r="U11" s="1">
        <f>1-Table1[[#This Row],[FPR]]</f>
        <v>0.9999876737994281</v>
      </c>
      <c r="V11" s="1">
        <f>Table1[[#This Row],[FP]]/(Table1[[#This Row],[FP]]+Table1[[#This Row],[TP]])</f>
        <v>2.4390243902439025E-2</v>
      </c>
      <c r="W11" s="1">
        <f>1-Table1[[#This Row],[FDR]]</f>
        <v>0.97560975609756095</v>
      </c>
      <c r="X11" s="1">
        <f>Table1[[#This Row],[FN]]/(Table1[[#This Row],[FN]]+Table1[[#This Row],[TP]])</f>
        <v>0.81481481481481477</v>
      </c>
      <c r="Y11" s="1">
        <f>1-Table1[[#This Row],[FNR]]</f>
        <v>0.18518518518518523</v>
      </c>
      <c r="Z11" s="1">
        <f>Table1[[#This Row],[TN]]/(Table1[[#This Row],[TN]]+Table1[[#This Row],[FN]])</f>
        <v>0.99783525823155361</v>
      </c>
      <c r="AA11" s="1">
        <f>1-Table1[[#This Row],[NPV]]</f>
        <v>2.1647417684463877E-3</v>
      </c>
      <c r="AB11" s="1">
        <f>Table1[[#This Row],[FNR]]/Table1[[#This Row],[FPR]]</f>
        <v>66104.296296296292</v>
      </c>
      <c r="AC11" s="1">
        <f>Table1[[#This Row],[Sensitivity]]/Table1[[#This Row],[Specificity]]</f>
        <v>0.18518746784305726</v>
      </c>
      <c r="AD11" s="1">
        <f>(Table1[[#This Row],[Sensitivity]]+Table1[[#This Row],[Specificity]])/2</f>
        <v>0.59258642949230667</v>
      </c>
      <c r="AE11" s="1">
        <f>(0.95*Table1[[#This Row],[Specificity]]+0.8*Table1[[#This Row],[Sensitivity]])/SUM(0.95,0.8)</f>
        <v>0.62750653614720275</v>
      </c>
      <c r="AF11" s="1">
        <f>AVERAGE((Table1[[#This Row],[Specificity]]-0.95)^2,(Table1[[#This Row],[Sensitivity]]-0.8)^2)</f>
        <v>0.19024801202382655</v>
      </c>
      <c r="AG11" s="1">
        <f>2*(Table1[[#This Row],[PPV]]*Table1[[#This Row],[Sensitivity]])/(Table1[[#This Row],[PPV]]+Table1[[#This Row],[Sensitivity]])</f>
        <v>0.31128404669260706</v>
      </c>
      <c r="AH11" s="1">
        <f>Table1[[#This Row],[Sensitivity]]/Table1[[#This Row],[FPR]]</f>
        <v>15023.703703703708</v>
      </c>
      <c r="AI11" s="1">
        <f>Table1[[#This Row],[FNR]]/Table1[[#This Row],[Specificity]]</f>
        <v>0.81482485850945174</v>
      </c>
      <c r="AJ11" s="1">
        <f>Table1[[#This Row],[LRPlus]]/Table1[[#This Row],[LRMinus]]</f>
        <v>18437.954545454551</v>
      </c>
      <c r="AK11" s="1">
        <f>SQRT(Table1[[#This Row],[PPV]]*Table1[[#This Row],[Sensitivity]])</f>
        <v>0.42505114204222555</v>
      </c>
      <c r="AL11" s="1">
        <f>SQRT(Table1[[#This Row],[Sensitivity]]*Table1[[#This Row],[Specificity]]*Table1[[#This Row],[PPV]]*Table1[[#This Row],[NPV]]) - SQRT(Table1[[#This Row],[FNR]]*Table1[[#This Row],[FPR]]*Table1[[#This Row],[FOR]]*Table1[[#This Row],[FDR]])</f>
        <v>0.42456518506307134</v>
      </c>
      <c r="AM11" s="1">
        <f>Table1[[#This Row],[TP]]/(Table1[[#This Row],[TP]]+Table1[[#This Row],[FN]]+Table1[[#This Row],[FP]])</f>
        <v>0.18433179723502305</v>
      </c>
      <c r="AN11" s="1">
        <f>Table1[[#This Row],[Specificity]]+Table1[[#This Row],[Sensitivity]]-1</f>
        <v>0.18517285898461333</v>
      </c>
      <c r="AO11" s="4">
        <f>Table1[[#This Row],[FPR]]/Table1[[#This Row],[FP]]</f>
        <v>4.9304802287742831E-7</v>
      </c>
    </row>
    <row r="12" spans="1:41" x14ac:dyDescent="0.3">
      <c r="A12" t="s">
        <v>12</v>
      </c>
      <c r="B12" t="s">
        <v>24</v>
      </c>
      <c r="C12" t="s">
        <v>14</v>
      </c>
      <c r="D12">
        <v>0</v>
      </c>
      <c r="E12" s="2">
        <v>0.94959170000000004</v>
      </c>
      <c r="F12">
        <v>1</v>
      </c>
      <c r="J12">
        <v>2033600</v>
      </c>
      <c r="K12">
        <v>5400</v>
      </c>
      <c r="L12">
        <f>Table1[[#This Row],[Total]]-Table1[[#This Row],[PosAct]]</f>
        <v>2028200</v>
      </c>
      <c r="M12">
        <v>10093</v>
      </c>
      <c r="N12">
        <f>Table1[[#This Row],[Total]]-Table1[[#This Row],[PosPre]]</f>
        <v>2023507</v>
      </c>
      <c r="O12">
        <v>0</v>
      </c>
      <c r="P12">
        <f>Table1[[#This Row],[PosPre]]-Table1[[#This Row],[TP]]</f>
        <v>10093</v>
      </c>
      <c r="Q12">
        <f>Table1[[#This Row],[PosAct]]-Table1[[#This Row],[TP]]</f>
        <v>5400</v>
      </c>
      <c r="R12">
        <f>Table1[[#This Row],[NegAct]]-Table1[[#This Row],[FP]]</f>
        <v>2018107</v>
      </c>
      <c r="S12" t="str">
        <f>IF(SUM(Table1[[#This Row],[TP]:[TN]])=Table1[[#This Row],[Total]],"","ERROR")</f>
        <v/>
      </c>
      <c r="T12" s="1">
        <f>Table1[[#This Row],[FP]]/(Table1[[#This Row],[FP]]+Table1[[#This Row],[TN]])</f>
        <v>4.9763336949018838E-3</v>
      </c>
      <c r="U12" s="1">
        <f>1-Table1[[#This Row],[FPR]]</f>
        <v>0.99502366630509809</v>
      </c>
      <c r="V12" s="1">
        <f>Table1[[#This Row],[FP]]/(Table1[[#This Row],[FP]]+Table1[[#This Row],[TP]])</f>
        <v>1</v>
      </c>
      <c r="W12" s="1">
        <f>1-Table1[[#This Row],[FDR]]</f>
        <v>0</v>
      </c>
      <c r="X12" s="1">
        <f>Table1[[#This Row],[FN]]/(Table1[[#This Row],[FN]]+Table1[[#This Row],[TP]])</f>
        <v>1</v>
      </c>
      <c r="Y12" s="1">
        <f>1-Table1[[#This Row],[FNR]]</f>
        <v>0</v>
      </c>
      <c r="Z12" s="1">
        <f>Table1[[#This Row],[TN]]/(Table1[[#This Row],[TN]]+Table1[[#This Row],[FN]])</f>
        <v>0.99733136579216186</v>
      </c>
      <c r="AA12" s="1">
        <f>1-Table1[[#This Row],[NPV]]</f>
        <v>2.6686342078381387E-3</v>
      </c>
      <c r="AB12" s="1">
        <f>Table1[[#This Row],[FNR]]/Table1[[#This Row],[FPR]]</f>
        <v>200.95115426533241</v>
      </c>
      <c r="AC12" s="1">
        <f>Table1[[#This Row],[Sensitivity]]/Table1[[#This Row],[Specificity]]</f>
        <v>0</v>
      </c>
      <c r="AD12" s="1">
        <f>(Table1[[#This Row],[Sensitivity]]+Table1[[#This Row],[Specificity]])/2</f>
        <v>0.49751183315254904</v>
      </c>
      <c r="AE12" s="1">
        <f>(0.95*Table1[[#This Row],[Specificity]]+0.8*Table1[[#This Row],[Sensitivity]])/SUM(0.95,0.8)</f>
        <v>0.54015570456562467</v>
      </c>
      <c r="AF12" s="1">
        <f>AVERAGE((Table1[[#This Row],[Specificity]]-0.95)^2,(Table1[[#This Row],[Sensitivity]]-0.8)^2)</f>
        <v>0.3210135652637765</v>
      </c>
      <c r="AG12" s="1"/>
      <c r="AH12" s="1">
        <f>Table1[[#This Row],[Sensitivity]]/Table1[[#This Row],[FPR]]</f>
        <v>0</v>
      </c>
      <c r="AI12" s="1">
        <f>Table1[[#This Row],[FNR]]/Table1[[#This Row],[Specificity]]</f>
        <v>1.0050012214416777</v>
      </c>
      <c r="AJ12" s="1">
        <f>Table1[[#This Row],[LRPlus]]/Table1[[#This Row],[LRMinus]]</f>
        <v>0</v>
      </c>
      <c r="AK12" s="1">
        <f>SQRT(Table1[[#This Row],[PPV]]*Table1[[#This Row],[Sensitivity]])</f>
        <v>0</v>
      </c>
      <c r="AL12" s="1">
        <f>SQRT(Table1[[#This Row],[Sensitivity]]*Table1[[#This Row],[Specificity]]*Table1[[#This Row],[PPV]]*Table1[[#This Row],[NPV]]) - SQRT(Table1[[#This Row],[FNR]]*Table1[[#This Row],[FPR]]*Table1[[#This Row],[FOR]]*Table1[[#This Row],[FDR]])</f>
        <v>-3.6441753975121351E-3</v>
      </c>
      <c r="AM12" s="1">
        <f>Table1[[#This Row],[TP]]/(Table1[[#This Row],[TP]]+Table1[[#This Row],[FN]]+Table1[[#This Row],[FP]])</f>
        <v>0</v>
      </c>
      <c r="AN12" s="1">
        <f>Table1[[#This Row],[Specificity]]+Table1[[#This Row],[Sensitivity]]-1</f>
        <v>-4.9763336949019132E-3</v>
      </c>
      <c r="AO12" s="4">
        <f>Table1[[#This Row],[FPR]]/Table1[[#This Row],[FP]]</f>
        <v>4.9304802287742831E-7</v>
      </c>
    </row>
    <row r="13" spans="1:41" x14ac:dyDescent="0.3">
      <c r="A13" t="s">
        <v>12</v>
      </c>
      <c r="B13" t="s">
        <v>25</v>
      </c>
      <c r="C13" t="s">
        <v>14</v>
      </c>
      <c r="D13">
        <v>0</v>
      </c>
      <c r="E13" s="2">
        <v>0.94959170000000004</v>
      </c>
      <c r="F13">
        <v>8</v>
      </c>
      <c r="J13">
        <v>2033600</v>
      </c>
      <c r="K13">
        <v>5400</v>
      </c>
      <c r="L13">
        <f>Table1[[#This Row],[Total]]-Table1[[#This Row],[PosAct]]</f>
        <v>2028200</v>
      </c>
      <c r="M13">
        <v>0</v>
      </c>
      <c r="N13">
        <f>Table1[[#This Row],[Total]]-Table1[[#This Row],[PosPre]]</f>
        <v>2033600</v>
      </c>
      <c r="O13">
        <v>0</v>
      </c>
      <c r="P13">
        <f>Table1[[#This Row],[PosPre]]-Table1[[#This Row],[TP]]</f>
        <v>0</v>
      </c>
      <c r="Q13">
        <f>Table1[[#This Row],[PosAct]]-Table1[[#This Row],[TP]]</f>
        <v>5400</v>
      </c>
      <c r="R13">
        <f>Table1[[#This Row],[NegAct]]-Table1[[#This Row],[FP]]</f>
        <v>2028200</v>
      </c>
      <c r="S13" t="str">
        <f>IF(SUM(Table1[[#This Row],[TP]:[TN]])=Table1[[#This Row],[Total]],"","ERROR")</f>
        <v/>
      </c>
      <c r="T13" s="1">
        <f>Table1[[#This Row],[FP]]/(Table1[[#This Row],[FP]]+Table1[[#This Row],[TN]])</f>
        <v>0</v>
      </c>
      <c r="U13" s="1">
        <f>1-Table1[[#This Row],[FPR]]</f>
        <v>1</v>
      </c>
      <c r="V13" s="1"/>
      <c r="W13" s="1"/>
      <c r="X13" s="1">
        <f>Table1[[#This Row],[FN]]/(Table1[[#This Row],[FN]]+Table1[[#This Row],[TP]])</f>
        <v>1</v>
      </c>
      <c r="Y13" s="1">
        <f>1-Table1[[#This Row],[FNR]]</f>
        <v>0</v>
      </c>
      <c r="Z13" s="1">
        <f>Table1[[#This Row],[TN]]/(Table1[[#This Row],[TN]]+Table1[[#This Row],[FN]])</f>
        <v>0.99734461054287959</v>
      </c>
      <c r="AA13" s="1">
        <f>1-Table1[[#This Row],[NPV]]</f>
        <v>2.6553894571204051E-3</v>
      </c>
      <c r="AB13" s="1"/>
      <c r="AC13" s="1">
        <f>Table1[[#This Row],[Sensitivity]]/Table1[[#This Row],[Specificity]]</f>
        <v>0</v>
      </c>
      <c r="AD13" s="1">
        <f>(Table1[[#This Row],[Sensitivity]]+Table1[[#This Row],[Specificity]])/2</f>
        <v>0.5</v>
      </c>
      <c r="AE13" s="1">
        <f>(0.95*Table1[[#This Row],[Specificity]]+0.8*Table1[[#This Row],[Sensitivity]])/SUM(0.95,0.8)</f>
        <v>0.54285714285714282</v>
      </c>
      <c r="AF13" s="1">
        <f>AVERAGE((Table1[[#This Row],[Specificity]]-0.95)^2,(Table1[[#This Row],[Sensitivity]]-0.8)^2)</f>
        <v>0.32125000000000009</v>
      </c>
      <c r="AG13" s="1"/>
      <c r="AH13" s="1"/>
      <c r="AI13" s="1">
        <f>Table1[[#This Row],[FNR]]/Table1[[#This Row],[Specificity]]</f>
        <v>1</v>
      </c>
      <c r="AJ13" s="1"/>
      <c r="AK13" s="1">
        <f>SQRT(Table1[[#This Row],[PPV]]*Table1[[#This Row],[Sensitivity]])</f>
        <v>0</v>
      </c>
      <c r="AL13" s="1">
        <f>SQRT(Table1[[#This Row],[Sensitivity]]*Table1[[#This Row],[Specificity]]*Table1[[#This Row],[PPV]]*Table1[[#This Row],[NPV]]) - SQRT(Table1[[#This Row],[FNR]]*Table1[[#This Row],[FPR]]*Table1[[#This Row],[FOR]]*Table1[[#This Row],[FDR]])</f>
        <v>0</v>
      </c>
      <c r="AM13" s="1">
        <f>Table1[[#This Row],[TP]]/(Table1[[#This Row],[TP]]+Table1[[#This Row],[FN]]+Table1[[#This Row],[FP]])</f>
        <v>0</v>
      </c>
      <c r="AN13" s="1">
        <f>Table1[[#This Row],[Specificity]]+Table1[[#This Row],[Sensitivity]]-1</f>
        <v>0</v>
      </c>
      <c r="AO13" s="4"/>
    </row>
    <row r="14" spans="1:41" x14ac:dyDescent="0.3">
      <c r="A14" t="s">
        <v>12</v>
      </c>
      <c r="B14" t="s">
        <v>27</v>
      </c>
      <c r="C14" t="s">
        <v>14</v>
      </c>
      <c r="D14">
        <v>0</v>
      </c>
      <c r="E14" s="2">
        <v>0.94959170000000004</v>
      </c>
      <c r="F14">
        <v>27</v>
      </c>
      <c r="J14">
        <v>2033600</v>
      </c>
      <c r="K14">
        <v>5400</v>
      </c>
      <c r="L14">
        <f>Table1[[#This Row],[Total]]-Table1[[#This Row],[PosAct]]</f>
        <v>2028200</v>
      </c>
      <c r="M14">
        <v>0</v>
      </c>
      <c r="N14">
        <f>Table1[[#This Row],[Total]]-Table1[[#This Row],[PosPre]]</f>
        <v>2033600</v>
      </c>
      <c r="O14">
        <v>0</v>
      </c>
      <c r="P14">
        <f>Table1[[#This Row],[PosPre]]-Table1[[#This Row],[TP]]</f>
        <v>0</v>
      </c>
      <c r="Q14">
        <f>Table1[[#This Row],[PosAct]]-Table1[[#This Row],[TP]]</f>
        <v>5400</v>
      </c>
      <c r="R14">
        <f>Table1[[#This Row],[NegAct]]-Table1[[#This Row],[FP]]</f>
        <v>2028200</v>
      </c>
      <c r="S14" t="str">
        <f>IF(SUM(Table1[[#This Row],[TP]:[TN]])=Table1[[#This Row],[Total]],"","ERROR")</f>
        <v/>
      </c>
      <c r="T14" s="1">
        <f>Table1[[#This Row],[FP]]/(Table1[[#This Row],[FP]]+Table1[[#This Row],[TN]])</f>
        <v>0</v>
      </c>
      <c r="U14" s="1">
        <f>1-Table1[[#This Row],[FPR]]</f>
        <v>1</v>
      </c>
      <c r="V14" s="1"/>
      <c r="W14" s="1"/>
      <c r="X14" s="1">
        <f>Table1[[#This Row],[FN]]/(Table1[[#This Row],[FN]]+Table1[[#This Row],[TP]])</f>
        <v>1</v>
      </c>
      <c r="Y14" s="1">
        <f>1-Table1[[#This Row],[FNR]]</f>
        <v>0</v>
      </c>
      <c r="Z14" s="1">
        <f>Table1[[#This Row],[TN]]/(Table1[[#This Row],[TN]]+Table1[[#This Row],[FN]])</f>
        <v>0.99734461054287959</v>
      </c>
      <c r="AA14" s="1">
        <f>1-Table1[[#This Row],[NPV]]</f>
        <v>2.6553894571204051E-3</v>
      </c>
      <c r="AB14" s="1"/>
      <c r="AC14" s="1">
        <f>Table1[[#This Row],[Sensitivity]]/Table1[[#This Row],[Specificity]]</f>
        <v>0</v>
      </c>
      <c r="AD14" s="1">
        <f>(Table1[[#This Row],[Sensitivity]]+Table1[[#This Row],[Specificity]])/2</f>
        <v>0.5</v>
      </c>
      <c r="AE14" s="1">
        <f>(0.95*Table1[[#This Row],[Specificity]]+0.8*Table1[[#This Row],[Sensitivity]])/SUM(0.95,0.8)</f>
        <v>0.54285714285714282</v>
      </c>
      <c r="AF14" s="1">
        <f>AVERAGE((Table1[[#This Row],[Specificity]]-0.95)^2,(Table1[[#This Row],[Sensitivity]]-0.8)^2)</f>
        <v>0.32125000000000009</v>
      </c>
      <c r="AG14" s="1"/>
      <c r="AH14" s="1"/>
      <c r="AI14" s="1">
        <f>Table1[[#This Row],[FNR]]/Table1[[#This Row],[Specificity]]</f>
        <v>1</v>
      </c>
      <c r="AJ14" s="1"/>
      <c r="AK14" s="1">
        <f>SQRT(Table1[[#This Row],[PPV]]*Table1[[#This Row],[Sensitivity]])</f>
        <v>0</v>
      </c>
      <c r="AL14" s="1">
        <f>SQRT(Table1[[#This Row],[Sensitivity]]*Table1[[#This Row],[Specificity]]*Table1[[#This Row],[PPV]]*Table1[[#This Row],[NPV]]) - SQRT(Table1[[#This Row],[FNR]]*Table1[[#This Row],[FPR]]*Table1[[#This Row],[FOR]]*Table1[[#This Row],[FDR]])</f>
        <v>0</v>
      </c>
      <c r="AM14" s="1">
        <f>Table1[[#This Row],[TP]]/(Table1[[#This Row],[TP]]+Table1[[#This Row],[FN]]+Table1[[#This Row],[FP]])</f>
        <v>0</v>
      </c>
      <c r="AN14" s="1">
        <f>Table1[[#This Row],[Specificity]]+Table1[[#This Row],[Sensitivity]]-1</f>
        <v>0</v>
      </c>
      <c r="AO14" s="4"/>
    </row>
    <row r="15" spans="1:41" x14ac:dyDescent="0.3">
      <c r="A15" t="s">
        <v>12</v>
      </c>
      <c r="B15" t="s">
        <v>28</v>
      </c>
      <c r="C15" t="s">
        <v>14</v>
      </c>
      <c r="D15">
        <v>0</v>
      </c>
      <c r="E15" s="2">
        <v>0.94959170000000004</v>
      </c>
      <c r="F15">
        <v>64</v>
      </c>
      <c r="J15">
        <v>2033600</v>
      </c>
      <c r="K15">
        <v>5400</v>
      </c>
      <c r="L15">
        <f>Table1[[#This Row],[Total]]-Table1[[#This Row],[PosAct]]</f>
        <v>2028200</v>
      </c>
      <c r="M15">
        <v>0</v>
      </c>
      <c r="N15">
        <f>Table1[[#This Row],[Total]]-Table1[[#This Row],[PosPre]]</f>
        <v>2033600</v>
      </c>
      <c r="O15">
        <v>0</v>
      </c>
      <c r="P15">
        <f>Table1[[#This Row],[PosPre]]-Table1[[#This Row],[TP]]</f>
        <v>0</v>
      </c>
      <c r="Q15">
        <f>Table1[[#This Row],[PosAct]]-Table1[[#This Row],[TP]]</f>
        <v>5400</v>
      </c>
      <c r="R15">
        <f>Table1[[#This Row],[NegAct]]-Table1[[#This Row],[FP]]</f>
        <v>2028200</v>
      </c>
      <c r="S15" t="str">
        <f>IF(SUM(Table1[[#This Row],[TP]:[TN]])=Table1[[#This Row],[Total]],"","ERROR")</f>
        <v/>
      </c>
      <c r="T15" s="1">
        <f>Table1[[#This Row],[FP]]/(Table1[[#This Row],[FP]]+Table1[[#This Row],[TN]])</f>
        <v>0</v>
      </c>
      <c r="U15" s="1">
        <f>1-Table1[[#This Row],[FPR]]</f>
        <v>1</v>
      </c>
      <c r="V15" s="1"/>
      <c r="W15" s="1"/>
      <c r="X15" s="1">
        <f>Table1[[#This Row],[FN]]/(Table1[[#This Row],[FN]]+Table1[[#This Row],[TP]])</f>
        <v>1</v>
      </c>
      <c r="Y15" s="1">
        <f>1-Table1[[#This Row],[FNR]]</f>
        <v>0</v>
      </c>
      <c r="Z15" s="1">
        <f>Table1[[#This Row],[TN]]/(Table1[[#This Row],[TN]]+Table1[[#This Row],[FN]])</f>
        <v>0.99734461054287959</v>
      </c>
      <c r="AA15" s="1">
        <f>1-Table1[[#This Row],[NPV]]</f>
        <v>2.6553894571204051E-3</v>
      </c>
      <c r="AB15" s="1"/>
      <c r="AC15" s="1">
        <f>Table1[[#This Row],[Sensitivity]]/Table1[[#This Row],[Specificity]]</f>
        <v>0</v>
      </c>
      <c r="AD15" s="1">
        <f>(Table1[[#This Row],[Sensitivity]]+Table1[[#This Row],[Specificity]])/2</f>
        <v>0.5</v>
      </c>
      <c r="AE15" s="1">
        <f>(0.95*Table1[[#This Row],[Specificity]]+0.8*Table1[[#This Row],[Sensitivity]])/SUM(0.95,0.8)</f>
        <v>0.54285714285714282</v>
      </c>
      <c r="AF15" s="1">
        <f>AVERAGE((Table1[[#This Row],[Specificity]]-0.95)^2,(Table1[[#This Row],[Sensitivity]]-0.8)^2)</f>
        <v>0.32125000000000009</v>
      </c>
      <c r="AG15" s="1"/>
      <c r="AH15" s="1"/>
      <c r="AI15" s="1">
        <f>Table1[[#This Row],[FNR]]/Table1[[#This Row],[Specificity]]</f>
        <v>1</v>
      </c>
      <c r="AJ15" s="1"/>
      <c r="AK15" s="1">
        <f>SQRT(Table1[[#This Row],[PPV]]*Table1[[#This Row],[Sensitivity]])</f>
        <v>0</v>
      </c>
      <c r="AL15" s="1">
        <f>SQRT(Table1[[#This Row],[Sensitivity]]*Table1[[#This Row],[Specificity]]*Table1[[#This Row],[PPV]]*Table1[[#This Row],[NPV]]) - SQRT(Table1[[#This Row],[FNR]]*Table1[[#This Row],[FPR]]*Table1[[#This Row],[FOR]]*Table1[[#This Row],[FDR]])</f>
        <v>0</v>
      </c>
      <c r="AM15" s="1">
        <f>Table1[[#This Row],[TP]]/(Table1[[#This Row],[TP]]+Table1[[#This Row],[FN]]+Table1[[#This Row],[FP]])</f>
        <v>0</v>
      </c>
      <c r="AN15" s="1">
        <f>Table1[[#This Row],[Specificity]]+Table1[[#This Row],[Sensitivity]]-1</f>
        <v>0</v>
      </c>
      <c r="AO15" s="4"/>
    </row>
    <row r="16" spans="1:41" x14ac:dyDescent="0.3">
      <c r="A16" t="s">
        <v>12</v>
      </c>
      <c r="B16" t="s">
        <v>26</v>
      </c>
      <c r="C16" t="s">
        <v>14</v>
      </c>
      <c r="D16">
        <v>0</v>
      </c>
      <c r="E16" s="2">
        <v>0.94959170000000004</v>
      </c>
      <c r="F16">
        <v>125</v>
      </c>
      <c r="J16">
        <v>2033600</v>
      </c>
      <c r="K16">
        <v>5400</v>
      </c>
      <c r="L16">
        <f>Table1[[#This Row],[Total]]-Table1[[#This Row],[PosAct]]</f>
        <v>2028200</v>
      </c>
      <c r="M16">
        <v>0</v>
      </c>
      <c r="N16">
        <f>Table1[[#This Row],[Total]]-Table1[[#This Row],[PosPre]]</f>
        <v>2033600</v>
      </c>
      <c r="O16">
        <v>0</v>
      </c>
      <c r="P16">
        <f>Table1[[#This Row],[PosPre]]-Table1[[#This Row],[TP]]</f>
        <v>0</v>
      </c>
      <c r="Q16">
        <f>Table1[[#This Row],[PosAct]]-Table1[[#This Row],[TP]]</f>
        <v>5400</v>
      </c>
      <c r="R16">
        <f>Table1[[#This Row],[NegAct]]-Table1[[#This Row],[FP]]</f>
        <v>2028200</v>
      </c>
      <c r="S16" t="str">
        <f>IF(SUM(Table1[[#This Row],[TP]:[TN]])=Table1[[#This Row],[Total]],"","ERROR")</f>
        <v/>
      </c>
      <c r="T16" s="1">
        <f>Table1[[#This Row],[FP]]/(Table1[[#This Row],[FP]]+Table1[[#This Row],[TN]])</f>
        <v>0</v>
      </c>
      <c r="U16" s="1">
        <f>1-Table1[[#This Row],[FPR]]</f>
        <v>1</v>
      </c>
      <c r="V16" s="1"/>
      <c r="W16" s="1"/>
      <c r="X16" s="1">
        <f>Table1[[#This Row],[FN]]/(Table1[[#This Row],[FN]]+Table1[[#This Row],[TP]])</f>
        <v>1</v>
      </c>
      <c r="Y16" s="1">
        <f>1-Table1[[#This Row],[FNR]]</f>
        <v>0</v>
      </c>
      <c r="Z16" s="1">
        <f>Table1[[#This Row],[TN]]/(Table1[[#This Row],[TN]]+Table1[[#This Row],[FN]])</f>
        <v>0.99734461054287959</v>
      </c>
      <c r="AA16" s="1">
        <f>1-Table1[[#This Row],[NPV]]</f>
        <v>2.6553894571204051E-3</v>
      </c>
      <c r="AB16" s="1"/>
      <c r="AC16" s="1">
        <f>Table1[[#This Row],[Sensitivity]]/Table1[[#This Row],[Specificity]]</f>
        <v>0</v>
      </c>
      <c r="AD16" s="1">
        <f>(Table1[[#This Row],[Sensitivity]]+Table1[[#This Row],[Specificity]])/2</f>
        <v>0.5</v>
      </c>
      <c r="AE16" s="1">
        <f>(0.95*Table1[[#This Row],[Specificity]]+0.8*Table1[[#This Row],[Sensitivity]])/SUM(0.95,0.8)</f>
        <v>0.54285714285714282</v>
      </c>
      <c r="AF16" s="1">
        <f>AVERAGE((Table1[[#This Row],[Specificity]]-0.95)^2,(Table1[[#This Row],[Sensitivity]]-0.8)^2)</f>
        <v>0.32125000000000009</v>
      </c>
      <c r="AG16" s="1"/>
      <c r="AH16" s="1"/>
      <c r="AI16" s="1">
        <f>Table1[[#This Row],[FNR]]/Table1[[#This Row],[Specificity]]</f>
        <v>1</v>
      </c>
      <c r="AJ16" s="1"/>
      <c r="AK16" s="1">
        <f>SQRT(Table1[[#This Row],[PPV]]*Table1[[#This Row],[Sensitivity]])</f>
        <v>0</v>
      </c>
      <c r="AL16" s="1">
        <f>SQRT(Table1[[#This Row],[Sensitivity]]*Table1[[#This Row],[Specificity]]*Table1[[#This Row],[PPV]]*Table1[[#This Row],[NPV]]) - SQRT(Table1[[#This Row],[FNR]]*Table1[[#This Row],[FPR]]*Table1[[#This Row],[FOR]]*Table1[[#This Row],[FDR]])</f>
        <v>0</v>
      </c>
      <c r="AM16" s="1">
        <f>Table1[[#This Row],[TP]]/(Table1[[#This Row],[TP]]+Table1[[#This Row],[FN]]+Table1[[#This Row],[FP]])</f>
        <v>0</v>
      </c>
      <c r="AN16" s="1">
        <f>Table1[[#This Row],[Specificity]]+Table1[[#This Row],[Sensitivity]]-1</f>
        <v>0</v>
      </c>
      <c r="AO16" s="4"/>
    </row>
    <row r="17" spans="1:41" x14ac:dyDescent="0.3">
      <c r="A17" t="s">
        <v>29</v>
      </c>
      <c r="B17" t="s">
        <v>30</v>
      </c>
      <c r="C17" t="s">
        <v>14</v>
      </c>
      <c r="D17">
        <v>150</v>
      </c>
      <c r="E17" s="2">
        <v>0.54647760000000001</v>
      </c>
      <c r="F17">
        <v>1</v>
      </c>
      <c r="G17">
        <v>10091</v>
      </c>
      <c r="H17">
        <v>162240</v>
      </c>
      <c r="I17" s="1">
        <f>Table1[[#This Row],[PosPreBound]]/Table1[[#This Row],[NegActBound]]</f>
        <v>6.2197978303747535E-2</v>
      </c>
      <c r="J17">
        <v>2033600</v>
      </c>
      <c r="K17">
        <v>5400</v>
      </c>
      <c r="L17">
        <f>Table1[[#This Row],[Total]]-Table1[[#This Row],[PosAct]]</f>
        <v>2028200</v>
      </c>
      <c r="M17">
        <v>105110</v>
      </c>
      <c r="N17">
        <f>Table1[[#This Row],[Total]]-Table1[[#This Row],[PosPre]]</f>
        <v>1928490</v>
      </c>
      <c r="O17">
        <v>4444</v>
      </c>
      <c r="P17">
        <f>Table1[[#This Row],[PosPre]]-Table1[[#This Row],[TP]]</f>
        <v>100666</v>
      </c>
      <c r="Q17">
        <f>Table1[[#This Row],[PosAct]]-Table1[[#This Row],[TP]]</f>
        <v>956</v>
      </c>
      <c r="R17">
        <f>Table1[[#This Row],[NegAct]]-Table1[[#This Row],[FP]]</f>
        <v>1927534</v>
      </c>
      <c r="S17" t="str">
        <f>IF(SUM(Table1[[#This Row],[TP]:[TN]])=Table1[[#This Row],[Total]],"","ERROR")</f>
        <v/>
      </c>
      <c r="T17" s="1">
        <f>Table1[[#This Row],[FP]]/(Table1[[#This Row],[FP]]+Table1[[#This Row],[TN]])</f>
        <v>4.9633172270979194E-2</v>
      </c>
      <c r="U17" s="1">
        <f>1-Table1[[#This Row],[FPR]]</f>
        <v>0.95036682772902081</v>
      </c>
      <c r="V17" s="1">
        <f>Table1[[#This Row],[FP]]/(Table1[[#This Row],[FP]]+Table1[[#This Row],[TP]])</f>
        <v>0.95772048330320614</v>
      </c>
      <c r="W17" s="1">
        <f>1-Table1[[#This Row],[FDR]]</f>
        <v>4.2279516696793862E-2</v>
      </c>
      <c r="X17" s="1">
        <f>Table1[[#This Row],[FN]]/(Table1[[#This Row],[FN]]+Table1[[#This Row],[TP]])</f>
        <v>0.17703703703703705</v>
      </c>
      <c r="Y17" s="1">
        <f>1-Table1[[#This Row],[FNR]]</f>
        <v>0.8229629629629629</v>
      </c>
      <c r="Z17" s="1">
        <f>Table1[[#This Row],[TN]]/(Table1[[#This Row],[TN]]+Table1[[#This Row],[FN]])</f>
        <v>0.99950427536570063</v>
      </c>
      <c r="AA17" s="1">
        <f>1-Table1[[#This Row],[NPV]]</f>
        <v>4.9572463429936597E-4</v>
      </c>
      <c r="AB17" s="1">
        <f>Table1[[#This Row],[FNR]]/Table1[[#This Row],[FPR]]</f>
        <v>3.5669095674658626</v>
      </c>
      <c r="AC17" s="1">
        <f>Table1[[#This Row],[Sensitivity]]/Table1[[#This Row],[Specificity]]</f>
        <v>0.86594243291245776</v>
      </c>
      <c r="AD17" s="1">
        <f>(Table1[[#This Row],[Sensitivity]]+Table1[[#This Row],[Specificity]])/2</f>
        <v>0.88666489534599191</v>
      </c>
      <c r="AE17" s="1">
        <f>(0.95*Table1[[#This Row],[Specificity]]+0.8*Table1[[#This Row],[Sensitivity]])/SUM(0.95,0.8)</f>
        <v>0.89212506097882294</v>
      </c>
      <c r="AF17" s="1">
        <f>AVERAGE((Table1[[#This Row],[Specificity]]-0.95)^2,(Table1[[#This Row],[Sensitivity]]-0.8)^2)</f>
        <v>2.6371611531059115E-4</v>
      </c>
      <c r="AG17" s="1">
        <f>2*(Table1[[#This Row],[PPV]]*Table1[[#This Row],[Sensitivity]])/(Table1[[#This Row],[PPV]]+Table1[[#This Row],[Sensitivity]])</f>
        <v>8.0427110668717813E-2</v>
      </c>
      <c r="AH17" s="1">
        <f>Table1[[#This Row],[Sensitivity]]/Table1[[#This Row],[FPR]]</f>
        <v>16.580905980981477</v>
      </c>
      <c r="AI17" s="1">
        <f>Table1[[#This Row],[FNR]]/Table1[[#This Row],[Specificity]]</f>
        <v>0.18628284560403008</v>
      </c>
      <c r="AJ17" s="1">
        <f>Table1[[#This Row],[LRPlus]]/Table1[[#This Row],[LRMinus]]</f>
        <v>89.009301566213367</v>
      </c>
      <c r="AK17" s="1">
        <f>SQRT(Table1[[#This Row],[PPV]]*Table1[[#This Row],[Sensitivity]])</f>
        <v>0.18653277549384059</v>
      </c>
      <c r="AL17" s="1">
        <f>SQRT(Table1[[#This Row],[Sensitivity]]*Table1[[#This Row],[Specificity]]*Table1[[#This Row],[PPV]]*Table1[[#This Row],[NPV]]) - SQRT(Table1[[#This Row],[FNR]]*Table1[[#This Row],[FPR]]*Table1[[#This Row],[FOR]]*Table1[[#This Row],[FDR]])</f>
        <v>0.17975720060683589</v>
      </c>
      <c r="AM17" s="1">
        <f>Table1[[#This Row],[TP]]/(Table1[[#This Row],[TP]]+Table1[[#This Row],[FN]]+Table1[[#This Row],[FP]])</f>
        <v>4.189844059359267E-2</v>
      </c>
      <c r="AN17" s="1">
        <f>Table1[[#This Row],[Specificity]]+Table1[[#This Row],[Sensitivity]]-1</f>
        <v>0.77332979069198382</v>
      </c>
      <c r="AO17" s="4">
        <f>Table1[[#This Row],[FPR]]/Table1[[#This Row],[FP]]</f>
        <v>4.9304802287742831E-7</v>
      </c>
    </row>
    <row r="18" spans="1:41" x14ac:dyDescent="0.3">
      <c r="A18" t="s">
        <v>29</v>
      </c>
      <c r="B18" t="s">
        <v>31</v>
      </c>
      <c r="C18" t="s">
        <v>14</v>
      </c>
      <c r="D18">
        <v>150</v>
      </c>
      <c r="E18" s="2">
        <v>0.54647760000000001</v>
      </c>
      <c r="F18">
        <v>8</v>
      </c>
      <c r="G18">
        <v>8197</v>
      </c>
      <c r="H18">
        <v>162240</v>
      </c>
      <c r="I18" s="1">
        <f>Table1[[#This Row],[PosPreBound]]/Table1[[#This Row],[NegActBound]]</f>
        <v>5.0523915187376728E-2</v>
      </c>
      <c r="J18">
        <v>2033600</v>
      </c>
      <c r="K18">
        <v>5400</v>
      </c>
      <c r="L18">
        <f>Table1[[#This Row],[Total]]-Table1[[#This Row],[PosAct]]</f>
        <v>2028200</v>
      </c>
      <c r="M18">
        <v>71702</v>
      </c>
      <c r="N18">
        <f>Table1[[#This Row],[Total]]-Table1[[#This Row],[PosPre]]</f>
        <v>1961898</v>
      </c>
      <c r="O18">
        <v>4430</v>
      </c>
      <c r="P18">
        <f>Table1[[#This Row],[PosPre]]-Table1[[#This Row],[TP]]</f>
        <v>67272</v>
      </c>
      <c r="Q18">
        <f>Table1[[#This Row],[PosAct]]-Table1[[#This Row],[TP]]</f>
        <v>970</v>
      </c>
      <c r="R18">
        <f>Table1[[#This Row],[NegAct]]-Table1[[#This Row],[FP]]</f>
        <v>1960928</v>
      </c>
      <c r="S18" t="str">
        <f>IF(SUM(Table1[[#This Row],[TP]:[TN]])=Table1[[#This Row],[Total]],"","ERROR")</f>
        <v/>
      </c>
      <c r="T18" s="1">
        <f>Table1[[#This Row],[FP]]/(Table1[[#This Row],[FP]]+Table1[[#This Row],[TN]])</f>
        <v>3.3168326595010351E-2</v>
      </c>
      <c r="U18" s="1">
        <f>1-Table1[[#This Row],[FPR]]</f>
        <v>0.96683167340498966</v>
      </c>
      <c r="V18" s="1">
        <f>Table1[[#This Row],[FP]]/(Table1[[#This Row],[FP]]+Table1[[#This Row],[TP]])</f>
        <v>0.93821650721039862</v>
      </c>
      <c r="W18" s="1">
        <f>1-Table1[[#This Row],[FDR]]</f>
        <v>6.178349278960138E-2</v>
      </c>
      <c r="X18" s="1">
        <f>Table1[[#This Row],[FN]]/(Table1[[#This Row],[FN]]+Table1[[#This Row],[TP]])</f>
        <v>0.17962962962962964</v>
      </c>
      <c r="Y18" s="1">
        <f>1-Table1[[#This Row],[FNR]]</f>
        <v>0.82037037037037042</v>
      </c>
      <c r="Z18" s="1">
        <f>Table1[[#This Row],[TN]]/(Table1[[#This Row],[TN]]+Table1[[#This Row],[FN]])</f>
        <v>0.99950558082020569</v>
      </c>
      <c r="AA18" s="1">
        <f>1-Table1[[#This Row],[NPV]]</f>
        <v>4.9441917979431427E-4</v>
      </c>
      <c r="AB18" s="1">
        <f>Table1[[#This Row],[FNR]]/Table1[[#This Row],[FPR]]</f>
        <v>5.4156976872222451</v>
      </c>
      <c r="AC18" s="1">
        <f>Table1[[#This Row],[Sensitivity]]/Table1[[#This Row],[Specificity]]</f>
        <v>0.84851416532640933</v>
      </c>
      <c r="AD18" s="1">
        <f>(Table1[[#This Row],[Sensitivity]]+Table1[[#This Row],[Specificity]])/2</f>
        <v>0.89360102188767998</v>
      </c>
      <c r="AE18" s="1">
        <f>(0.95*Table1[[#This Row],[Specificity]]+0.8*Table1[[#This Row],[Sensitivity]])/SUM(0.95,0.8)</f>
        <v>0.89987793487487799</v>
      </c>
      <c r="AF18" s="1">
        <f>AVERAGE((Table1[[#This Row],[Specificity]]-0.95)^2,(Table1[[#This Row],[Sensitivity]]-0.8)^2)</f>
        <v>3.4912860931915035E-4</v>
      </c>
      <c r="AG18" s="1">
        <f>2*(Table1[[#This Row],[PPV]]*Table1[[#This Row],[Sensitivity]])/(Table1[[#This Row],[PPV]]+Table1[[#This Row],[Sensitivity]])</f>
        <v>0.11491271302949335</v>
      </c>
      <c r="AH18" s="1">
        <f>Table1[[#This Row],[Sensitivity]]/Table1[[#This Row],[FPR]]</f>
        <v>24.733547169478914</v>
      </c>
      <c r="AI18" s="1">
        <f>Table1[[#This Row],[FNR]]/Table1[[#This Row],[Specificity]]</f>
        <v>0.18579204071481198</v>
      </c>
      <c r="AJ18" s="1">
        <f>Table1[[#This Row],[LRPlus]]/Table1[[#This Row],[LRMinus]]</f>
        <v>133.12490176823312</v>
      </c>
      <c r="AK18" s="1">
        <f>SQRT(Table1[[#This Row],[PPV]]*Table1[[#This Row],[Sensitivity]])</f>
        <v>0.22513406419860232</v>
      </c>
      <c r="AL18" s="1">
        <f>SQRT(Table1[[#This Row],[Sensitivity]]*Table1[[#This Row],[Specificity]]*Table1[[#This Row],[PPV]]*Table1[[#This Row],[NPV]]) - SQRT(Table1[[#This Row],[FNR]]*Table1[[#This Row],[FPR]]*Table1[[#This Row],[FOR]]*Table1[[#This Row],[FDR]])</f>
        <v>0.21965173344806227</v>
      </c>
      <c r="AM18" s="1">
        <f>Table1[[#This Row],[TP]]/(Table1[[#This Row],[TP]]+Table1[[#This Row],[FN]]+Table1[[#This Row],[FP]])</f>
        <v>6.095882870981946E-2</v>
      </c>
      <c r="AN18" s="1">
        <f>Table1[[#This Row],[Specificity]]+Table1[[#This Row],[Sensitivity]]-1</f>
        <v>0.78720204377535996</v>
      </c>
      <c r="AO18" s="4">
        <f>Table1[[#This Row],[FPR]]/Table1[[#This Row],[FP]]</f>
        <v>4.930480228774282E-7</v>
      </c>
    </row>
    <row r="19" spans="1:41" x14ac:dyDescent="0.3">
      <c r="A19" t="s">
        <v>29</v>
      </c>
      <c r="B19" t="s">
        <v>33</v>
      </c>
      <c r="C19" t="s">
        <v>14</v>
      </c>
      <c r="D19">
        <v>150</v>
      </c>
      <c r="E19" s="2">
        <v>0.54647760000000001</v>
      </c>
      <c r="F19">
        <v>27</v>
      </c>
      <c r="G19">
        <v>5772</v>
      </c>
      <c r="H19">
        <v>162240</v>
      </c>
      <c r="I19" s="1">
        <f>Table1[[#This Row],[PosPreBound]]/Table1[[#This Row],[NegActBound]]</f>
        <v>3.5576923076923075E-2</v>
      </c>
      <c r="J19">
        <v>2033600</v>
      </c>
      <c r="K19">
        <v>5400</v>
      </c>
      <c r="L19">
        <f>Table1[[#This Row],[Total]]-Table1[[#This Row],[PosAct]]</f>
        <v>2028200</v>
      </c>
      <c r="M19">
        <v>32759</v>
      </c>
      <c r="N19">
        <f>Table1[[#This Row],[Total]]-Table1[[#This Row],[PosPre]]</f>
        <v>2000841</v>
      </c>
      <c r="O19">
        <v>4319</v>
      </c>
      <c r="P19">
        <f>Table1[[#This Row],[PosPre]]-Table1[[#This Row],[TP]]</f>
        <v>28440</v>
      </c>
      <c r="Q19">
        <f>Table1[[#This Row],[PosAct]]-Table1[[#This Row],[TP]]</f>
        <v>1081</v>
      </c>
      <c r="R19">
        <f>Table1[[#This Row],[NegAct]]-Table1[[#This Row],[FP]]</f>
        <v>1999760</v>
      </c>
      <c r="S19" t="str">
        <f>IF(SUM(Table1[[#This Row],[TP]:[TN]])=Table1[[#This Row],[Total]],"","ERROR")</f>
        <v/>
      </c>
      <c r="T19" s="1">
        <f>Table1[[#This Row],[FP]]/(Table1[[#This Row],[FP]]+Table1[[#This Row],[TN]])</f>
        <v>1.4022285770634059E-2</v>
      </c>
      <c r="U19" s="1">
        <f>1-Table1[[#This Row],[FPR]]</f>
        <v>0.98597771422936598</v>
      </c>
      <c r="V19" s="1">
        <f>Table1[[#This Row],[FP]]/(Table1[[#This Row],[FP]]+Table1[[#This Row],[TP]])</f>
        <v>0.86815836869257301</v>
      </c>
      <c r="W19" s="1">
        <f>1-Table1[[#This Row],[FDR]]</f>
        <v>0.13184163130742699</v>
      </c>
      <c r="X19" s="1">
        <f>Table1[[#This Row],[FN]]/(Table1[[#This Row],[FN]]+Table1[[#This Row],[TP]])</f>
        <v>0.20018518518518519</v>
      </c>
      <c r="Y19" s="1">
        <f>1-Table1[[#This Row],[FNR]]</f>
        <v>0.79981481481481476</v>
      </c>
      <c r="Z19" s="1">
        <f>Table1[[#This Row],[TN]]/(Table1[[#This Row],[TN]]+Table1[[#This Row],[FN]])</f>
        <v>0.99945972718471887</v>
      </c>
      <c r="AA19" s="1">
        <f>1-Table1[[#This Row],[NPV]]</f>
        <v>5.4027281528112869E-4</v>
      </c>
      <c r="AB19" s="1">
        <f>Table1[[#This Row],[FNR]]/Table1[[#This Row],[FPR]]</f>
        <v>14.276216335885817</v>
      </c>
      <c r="AC19" s="1">
        <f>Table1[[#This Row],[Sensitivity]]/Table1[[#This Row],[Specificity]]</f>
        <v>0.81118954644927754</v>
      </c>
      <c r="AD19" s="1">
        <f>(Table1[[#This Row],[Sensitivity]]+Table1[[#This Row],[Specificity]])/2</f>
        <v>0.89289626452209037</v>
      </c>
      <c r="AE19" s="1">
        <f>(0.95*Table1[[#This Row],[Specificity]]+0.8*Table1[[#This Row],[Sensitivity]])/SUM(0.95,0.8)</f>
        <v>0.90087467449699965</v>
      </c>
      <c r="AF19" s="1">
        <f>AVERAGE((Table1[[#This Row],[Specificity]]-0.95)^2,(Table1[[#This Row],[Sensitivity]]-0.8)^2)</f>
        <v>6.4721510736136917E-4</v>
      </c>
      <c r="AG19" s="1">
        <f>2*(Table1[[#This Row],[PPV]]*Table1[[#This Row],[Sensitivity]])/(Table1[[#This Row],[PPV]]+Table1[[#This Row],[Sensitivity]])</f>
        <v>0.22636861552975709</v>
      </c>
      <c r="AH19" s="1">
        <f>Table1[[#This Row],[Sensitivity]]/Table1[[#This Row],[FPR]]</f>
        <v>57.038832890555817</v>
      </c>
      <c r="AI19" s="1">
        <f>Table1[[#This Row],[FNR]]/Table1[[#This Row],[Specificity]]</f>
        <v>0.20303216015551495</v>
      </c>
      <c r="AJ19" s="1">
        <f>Table1[[#This Row],[LRPlus]]/Table1[[#This Row],[LRMinus]]</f>
        <v>280.9349654107321</v>
      </c>
      <c r="AK19" s="1">
        <f>SQRT(Table1[[#This Row],[PPV]]*Table1[[#This Row],[Sensitivity]])</f>
        <v>0.32472894840009692</v>
      </c>
      <c r="AL19" s="1">
        <f>SQRT(Table1[[#This Row],[Sensitivity]]*Table1[[#This Row],[Specificity]]*Table1[[#This Row],[PPV]]*Table1[[#This Row],[NPV]]) - SQRT(Table1[[#This Row],[FNR]]*Table1[[#This Row],[FPR]]*Table1[[#This Row],[FOR]]*Table1[[#This Row],[FDR]])</f>
        <v>0.32120963023620558</v>
      </c>
      <c r="AM19" s="1">
        <f>Table1[[#This Row],[TP]]/(Table1[[#This Row],[TP]]+Table1[[#This Row],[FN]]+Table1[[#This Row],[FP]])</f>
        <v>0.12763002364066195</v>
      </c>
      <c r="AN19" s="1">
        <f>Table1[[#This Row],[Specificity]]+Table1[[#This Row],[Sensitivity]]-1</f>
        <v>0.78579252904418073</v>
      </c>
      <c r="AO19" s="4">
        <f>Table1[[#This Row],[FPR]]/Table1[[#This Row],[FP]]</f>
        <v>4.930480228774282E-7</v>
      </c>
    </row>
    <row r="20" spans="1:41" x14ac:dyDescent="0.3">
      <c r="A20" t="s">
        <v>29</v>
      </c>
      <c r="B20" t="s">
        <v>34</v>
      </c>
      <c r="C20" t="s">
        <v>14</v>
      </c>
      <c r="D20">
        <v>150</v>
      </c>
      <c r="E20" s="2">
        <v>0.54647760000000001</v>
      </c>
      <c r="F20">
        <v>64</v>
      </c>
      <c r="G20">
        <v>4442</v>
      </c>
      <c r="H20">
        <v>162240</v>
      </c>
      <c r="I20" s="1">
        <f>Table1[[#This Row],[PosPreBound]]/Table1[[#This Row],[NegActBound]]</f>
        <v>2.7379191321499012E-2</v>
      </c>
      <c r="J20">
        <v>2033600</v>
      </c>
      <c r="K20">
        <v>5400</v>
      </c>
      <c r="L20">
        <f>Table1[[#This Row],[Total]]-Table1[[#This Row],[PosAct]]</f>
        <v>2028200</v>
      </c>
      <c r="M20">
        <v>13435</v>
      </c>
      <c r="N20">
        <f>Table1[[#This Row],[Total]]-Table1[[#This Row],[PosPre]]</f>
        <v>2020165</v>
      </c>
      <c r="O20">
        <v>3975</v>
      </c>
      <c r="P20">
        <f>Table1[[#This Row],[PosPre]]-Table1[[#This Row],[TP]]</f>
        <v>9460</v>
      </c>
      <c r="Q20">
        <f>Table1[[#This Row],[PosAct]]-Table1[[#This Row],[TP]]</f>
        <v>1425</v>
      </c>
      <c r="R20">
        <f>Table1[[#This Row],[NegAct]]-Table1[[#This Row],[FP]]</f>
        <v>2018740</v>
      </c>
      <c r="S20" t="str">
        <f>IF(SUM(Table1[[#This Row],[TP]:[TN]])=Table1[[#This Row],[Total]],"","ERROR")</f>
        <v/>
      </c>
      <c r="T20" s="1">
        <f>Table1[[#This Row],[FP]]/(Table1[[#This Row],[FP]]+Table1[[#This Row],[TN]])</f>
        <v>4.6642342964204712E-3</v>
      </c>
      <c r="U20" s="1">
        <f>1-Table1[[#This Row],[FPR]]</f>
        <v>0.99533576570357951</v>
      </c>
      <c r="V20" s="1">
        <f>Table1[[#This Row],[FP]]/(Table1[[#This Row],[FP]]+Table1[[#This Row],[TP]])</f>
        <v>0.70413100111648674</v>
      </c>
      <c r="W20" s="1">
        <f>1-Table1[[#This Row],[FDR]]</f>
        <v>0.29586899888351326</v>
      </c>
      <c r="X20" s="1">
        <f>Table1[[#This Row],[FN]]/(Table1[[#This Row],[FN]]+Table1[[#This Row],[TP]])</f>
        <v>0.2638888888888889</v>
      </c>
      <c r="Y20" s="1">
        <f>1-Table1[[#This Row],[FNR]]</f>
        <v>0.73611111111111116</v>
      </c>
      <c r="Z20" s="1">
        <f>Table1[[#This Row],[TN]]/(Table1[[#This Row],[TN]]+Table1[[#This Row],[FN]])</f>
        <v>0.99929461207376624</v>
      </c>
      <c r="AA20" s="1">
        <f>1-Table1[[#This Row],[NPV]]</f>
        <v>7.0538792623375812E-4</v>
      </c>
      <c r="AB20" s="1">
        <f>Table1[[#This Row],[FNR]]/Table1[[#This Row],[FPR]]</f>
        <v>56.577108292224572</v>
      </c>
      <c r="AC20" s="1">
        <f>Table1[[#This Row],[Sensitivity]]/Table1[[#This Row],[Specificity]]</f>
        <v>0.7395605950026034</v>
      </c>
      <c r="AD20" s="1">
        <f>(Table1[[#This Row],[Sensitivity]]+Table1[[#This Row],[Specificity]])/2</f>
        <v>0.86572343840734534</v>
      </c>
      <c r="AE20" s="1">
        <f>(0.95*Table1[[#This Row],[Specificity]]+0.8*Table1[[#This Row],[Sensitivity]])/SUM(0.95,0.8)</f>
        <v>0.87683306646130821</v>
      </c>
      <c r="AF20" s="1">
        <f>AVERAGE((Table1[[#This Row],[Specificity]]-0.95)^2,(Table1[[#This Row],[Sensitivity]]-0.8)^2)</f>
        <v>3.0685608876933248E-3</v>
      </c>
      <c r="AG20" s="1">
        <f>2*(Table1[[#This Row],[PPV]]*Table1[[#This Row],[Sensitivity]])/(Table1[[#This Row],[PPV]]+Table1[[#This Row],[Sensitivity]])</f>
        <v>0.42208654101406962</v>
      </c>
      <c r="AH20" s="1">
        <f>Table1[[#This Row],[Sensitivity]]/Table1[[#This Row],[FPR]]</f>
        <v>157.82035470988961</v>
      </c>
      <c r="AI20" s="1">
        <f>Table1[[#This Row],[FNR]]/Table1[[#This Row],[Specificity]]</f>
        <v>0.26512549632168803</v>
      </c>
      <c r="AJ20" s="1">
        <f>Table1[[#This Row],[LRPlus]]/Table1[[#This Row],[LRMinus]]</f>
        <v>595.26660732168693</v>
      </c>
      <c r="AK20" s="1">
        <f>SQRT(Table1[[#This Row],[PPV]]*Table1[[#This Row],[Sensitivity]])</f>
        <v>0.46668239468773093</v>
      </c>
      <c r="AL20" s="1">
        <f>SQRT(Table1[[#This Row],[Sensitivity]]*Table1[[#This Row],[Specificity]]*Table1[[#This Row],[PPV]]*Table1[[#This Row],[NPV]]) - SQRT(Table1[[#This Row],[FNR]]*Table1[[#This Row],[FPR]]*Table1[[#This Row],[FOR]]*Table1[[#This Row],[FDR]])</f>
        <v>0.46464664142125089</v>
      </c>
      <c r="AM20" s="1">
        <f>Table1[[#This Row],[TP]]/(Table1[[#This Row],[TP]]+Table1[[#This Row],[FN]]+Table1[[#This Row],[FP]])</f>
        <v>0.26749663526244954</v>
      </c>
      <c r="AN20" s="1">
        <f>Table1[[#This Row],[Specificity]]+Table1[[#This Row],[Sensitivity]]-1</f>
        <v>0.73144687681469067</v>
      </c>
      <c r="AO20" s="4">
        <f>Table1[[#This Row],[FPR]]/Table1[[#This Row],[FP]]</f>
        <v>4.930480228774282E-7</v>
      </c>
    </row>
    <row r="21" spans="1:41" x14ac:dyDescent="0.3">
      <c r="A21" t="s">
        <v>29</v>
      </c>
      <c r="B21" t="s">
        <v>32</v>
      </c>
      <c r="C21" t="s">
        <v>14</v>
      </c>
      <c r="D21">
        <v>150</v>
      </c>
      <c r="E21" s="2">
        <v>0.54647760000000001</v>
      </c>
      <c r="F21">
        <v>125</v>
      </c>
      <c r="G21">
        <v>3199</v>
      </c>
      <c r="H21">
        <v>162240</v>
      </c>
      <c r="I21" s="1">
        <f>Table1[[#This Row],[PosPreBound]]/Table1[[#This Row],[NegActBound]]</f>
        <v>1.9717702169625248E-2</v>
      </c>
      <c r="J21">
        <v>2033600</v>
      </c>
      <c r="K21">
        <v>5400</v>
      </c>
      <c r="L21">
        <f>Table1[[#This Row],[Total]]-Table1[[#This Row],[PosAct]]</f>
        <v>2028200</v>
      </c>
      <c r="M21">
        <v>7294</v>
      </c>
      <c r="N21">
        <f>Table1[[#This Row],[Total]]-Table1[[#This Row],[PosPre]]</f>
        <v>2026306</v>
      </c>
      <c r="O21">
        <v>3308</v>
      </c>
      <c r="P21">
        <f>Table1[[#This Row],[PosPre]]-Table1[[#This Row],[TP]]</f>
        <v>3986</v>
      </c>
      <c r="Q21">
        <f>Table1[[#This Row],[PosAct]]-Table1[[#This Row],[TP]]</f>
        <v>2092</v>
      </c>
      <c r="R21">
        <f>Table1[[#This Row],[NegAct]]-Table1[[#This Row],[FP]]</f>
        <v>2024214</v>
      </c>
      <c r="S21" t="str">
        <f>IF(SUM(Table1[[#This Row],[TP]:[TN]])=Table1[[#This Row],[Total]],"","ERROR")</f>
        <v/>
      </c>
      <c r="T21" s="1">
        <f>Table1[[#This Row],[FP]]/(Table1[[#This Row],[FP]]+Table1[[#This Row],[TN]])</f>
        <v>1.9652894191894291E-3</v>
      </c>
      <c r="U21" s="1">
        <f>1-Table1[[#This Row],[FPR]]</f>
        <v>0.99803471058081061</v>
      </c>
      <c r="V21" s="1">
        <f>Table1[[#This Row],[FP]]/(Table1[[#This Row],[FP]]+Table1[[#This Row],[TP]])</f>
        <v>0.54647655607348511</v>
      </c>
      <c r="W21" s="1">
        <f>1-Table1[[#This Row],[FDR]]</f>
        <v>0.45352344392651489</v>
      </c>
      <c r="X21" s="1">
        <f>Table1[[#This Row],[FN]]/(Table1[[#This Row],[FN]]+Table1[[#This Row],[TP]])</f>
        <v>0.38740740740740742</v>
      </c>
      <c r="Y21" s="1">
        <f>1-Table1[[#This Row],[FNR]]</f>
        <v>0.61259259259259258</v>
      </c>
      <c r="Z21" s="1">
        <f>Table1[[#This Row],[TN]]/(Table1[[#This Row],[TN]]+Table1[[#This Row],[FN]])</f>
        <v>0.99896757942778636</v>
      </c>
      <c r="AA21" s="1">
        <f>1-Table1[[#This Row],[NPV]]</f>
        <v>1.0324205722136437E-3</v>
      </c>
      <c r="AB21" s="1">
        <f>Table1[[#This Row],[FNR]]/Table1[[#This Row],[FPR]]</f>
        <v>197.12486294623776</v>
      </c>
      <c r="AC21" s="1">
        <f>Table1[[#This Row],[Sensitivity]]/Table1[[#This Row],[Specificity]]</f>
        <v>0.61379888504688551</v>
      </c>
      <c r="AD21" s="1">
        <f>(Table1[[#This Row],[Sensitivity]]+Table1[[#This Row],[Specificity]])/2</f>
        <v>0.80531365158670165</v>
      </c>
      <c r="AE21" s="1">
        <f>(0.95*Table1[[#This Row],[Specificity]]+0.8*Table1[[#This Row],[Sensitivity]])/SUM(0.95,0.8)</f>
        <v>0.82183259950048237</v>
      </c>
      <c r="AF21" s="1">
        <f>AVERAGE((Table1[[#This Row],[Specificity]]-0.95)^2,(Table1[[#This Row],[Sensitivity]]-0.8)^2)</f>
        <v>1.8714434885874123E-2</v>
      </c>
      <c r="AG21" s="1">
        <f>2*(Table1[[#This Row],[PPV]]*Table1[[#This Row],[Sensitivity]])/(Table1[[#This Row],[PPV]]+Table1[[#This Row],[Sensitivity]])</f>
        <v>0.5211911139120845</v>
      </c>
      <c r="AH21" s="1">
        <f>Table1[[#This Row],[Sensitivity]]/Table1[[#This Row],[FPR]]</f>
        <v>311.7060452323874</v>
      </c>
      <c r="AI21" s="1">
        <f>Table1[[#This Row],[FNR]]/Table1[[#This Row],[Specificity]]</f>
        <v>0.38817027434041246</v>
      </c>
      <c r="AJ21" s="1">
        <f>Table1[[#This Row],[LRPlus]]/Table1[[#This Row],[LRMinus]]</f>
        <v>803.01369228245312</v>
      </c>
      <c r="AK21" s="1">
        <f>SQRT(Table1[[#This Row],[PPV]]*Table1[[#This Row],[Sensitivity]])</f>
        <v>0.52709117078211909</v>
      </c>
      <c r="AL21" s="1">
        <f>SQRT(Table1[[#This Row],[Sensitivity]]*Table1[[#This Row],[Specificity]]*Table1[[#This Row],[PPV]]*Table1[[#This Row],[NPV]]) - SQRT(Table1[[#This Row],[FNR]]*Table1[[#This Row],[FPR]]*Table1[[#This Row],[FOR]]*Table1[[#This Row],[FDR]])</f>
        <v>0.52564567276922425</v>
      </c>
      <c r="AM21" s="1">
        <f>Table1[[#This Row],[TP]]/(Table1[[#This Row],[TP]]+Table1[[#This Row],[FN]]+Table1[[#This Row],[FP]])</f>
        <v>0.35243980396334967</v>
      </c>
      <c r="AN21" s="1">
        <f>Table1[[#This Row],[Specificity]]+Table1[[#This Row],[Sensitivity]]-1</f>
        <v>0.6106273031734033</v>
      </c>
      <c r="AO21" s="4">
        <f>Table1[[#This Row],[FPR]]/Table1[[#This Row],[FP]]</f>
        <v>4.9304802287742831E-7</v>
      </c>
    </row>
    <row r="22" spans="1:41" x14ac:dyDescent="0.3">
      <c r="A22" t="s">
        <v>29</v>
      </c>
      <c r="B22" t="s">
        <v>35</v>
      </c>
      <c r="C22" t="s">
        <v>14</v>
      </c>
      <c r="D22">
        <v>150</v>
      </c>
      <c r="E22" s="2">
        <v>0.8061161</v>
      </c>
      <c r="F22">
        <v>1</v>
      </c>
      <c r="G22">
        <v>2406</v>
      </c>
      <c r="H22">
        <v>162240</v>
      </c>
      <c r="I22" s="1">
        <f>Table1[[#This Row],[PosPreBound]]/Table1[[#This Row],[NegActBound]]</f>
        <v>1.4829881656804733E-2</v>
      </c>
      <c r="J22">
        <v>2033600</v>
      </c>
      <c r="K22">
        <v>5400</v>
      </c>
      <c r="L22">
        <f>Table1[[#This Row],[Total]]-Table1[[#This Row],[PosAct]]</f>
        <v>2028200</v>
      </c>
      <c r="M22">
        <v>25206</v>
      </c>
      <c r="N22">
        <f>Table1[[#This Row],[Total]]-Table1[[#This Row],[PosPre]]</f>
        <v>2008394</v>
      </c>
      <c r="O22">
        <v>2289</v>
      </c>
      <c r="P22">
        <f>Table1[[#This Row],[PosPre]]-Table1[[#This Row],[TP]]</f>
        <v>22917</v>
      </c>
      <c r="Q22">
        <f>Table1[[#This Row],[PosAct]]-Table1[[#This Row],[TP]]</f>
        <v>3111</v>
      </c>
      <c r="R22">
        <f>Table1[[#This Row],[NegAct]]-Table1[[#This Row],[FP]]</f>
        <v>2005283</v>
      </c>
      <c r="S22" t="str">
        <f>IF(SUM(Table1[[#This Row],[TP]:[TN]])=Table1[[#This Row],[Total]],"","ERROR")</f>
        <v/>
      </c>
      <c r="T22" s="1">
        <f>Table1[[#This Row],[FP]]/(Table1[[#This Row],[FP]]+Table1[[#This Row],[TN]])</f>
        <v>1.1299181540282024E-2</v>
      </c>
      <c r="U22" s="1">
        <f>1-Table1[[#This Row],[FPR]]</f>
        <v>0.98870081845971802</v>
      </c>
      <c r="V22" s="1">
        <f>Table1[[#This Row],[FP]]/(Table1[[#This Row],[FP]]+Table1[[#This Row],[TP]])</f>
        <v>0.90918828850273747</v>
      </c>
      <c r="W22" s="1">
        <f>1-Table1[[#This Row],[FDR]]</f>
        <v>9.0811711497262526E-2</v>
      </c>
      <c r="X22" s="1">
        <f>Table1[[#This Row],[FN]]/(Table1[[#This Row],[FN]]+Table1[[#This Row],[TP]])</f>
        <v>0.57611111111111113</v>
      </c>
      <c r="Y22" s="1">
        <f>1-Table1[[#This Row],[FNR]]</f>
        <v>0.42388888888888887</v>
      </c>
      <c r="Z22" s="1">
        <f>Table1[[#This Row],[TN]]/(Table1[[#This Row],[TN]]+Table1[[#This Row],[FN]])</f>
        <v>0.99845100114818108</v>
      </c>
      <c r="AA22" s="1">
        <f>1-Table1[[#This Row],[NPV]]</f>
        <v>1.5489988518189168E-3</v>
      </c>
      <c r="AB22" s="1">
        <f>Table1[[#This Row],[FNR]]/Table1[[#This Row],[FPR]]</f>
        <v>50.986977159120109</v>
      </c>
      <c r="AC22" s="1">
        <f>Table1[[#This Row],[Sensitivity]]/Table1[[#This Row],[Specificity]]</f>
        <v>0.42873322341257786</v>
      </c>
      <c r="AD22" s="1">
        <f>(Table1[[#This Row],[Sensitivity]]+Table1[[#This Row],[Specificity]])/2</f>
        <v>0.70629485367430345</v>
      </c>
      <c r="AE22" s="1">
        <f>(0.95*Table1[[#This Row],[Specificity]]+0.8*Table1[[#This Row],[Sensitivity]])/SUM(0.95,0.8)</f>
        <v>0.73050107922733898</v>
      </c>
      <c r="AF22" s="1">
        <f>AVERAGE((Table1[[#This Row],[Specificity]]-0.95)^2,(Table1[[#This Row],[Sensitivity]]-0.8)^2)</f>
        <v>7.1478660625343332E-2</v>
      </c>
      <c r="AG22" s="1">
        <f>2*(Table1[[#This Row],[PPV]]*Table1[[#This Row],[Sensitivity]])/(Table1[[#This Row],[PPV]]+Table1[[#This Row],[Sensitivity]])</f>
        <v>0.1495785140168594</v>
      </c>
      <c r="AH22" s="1">
        <f>Table1[[#This Row],[Sensitivity]]/Table1[[#This Row],[FPR]]</f>
        <v>37.515008266546424</v>
      </c>
      <c r="AI22" s="1">
        <f>Table1[[#This Row],[FNR]]/Table1[[#This Row],[Specificity]]</f>
        <v>0.5826950887009742</v>
      </c>
      <c r="AJ22" s="1">
        <f>Table1[[#This Row],[LRPlus]]/Table1[[#This Row],[LRMinus]]</f>
        <v>64.381885129974506</v>
      </c>
      <c r="AK22" s="1">
        <f>SQRT(Table1[[#This Row],[PPV]]*Table1[[#This Row],[Sensitivity]])</f>
        <v>0.19619907105965856</v>
      </c>
      <c r="AL22" s="1">
        <f>SQRT(Table1[[#This Row],[Sensitivity]]*Table1[[#This Row],[Specificity]]*Table1[[#This Row],[PPV]]*Table1[[#This Row],[NPV]]) - SQRT(Table1[[#This Row],[FNR]]*Table1[[#This Row],[FPR]]*Table1[[#This Row],[FOR]]*Table1[[#This Row],[FDR]])</f>
        <v>0.19190851072197493</v>
      </c>
      <c r="AM22" s="1">
        <f>Table1[[#This Row],[TP]]/(Table1[[#This Row],[TP]]+Table1[[#This Row],[FN]]+Table1[[#This Row],[FP]])</f>
        <v>8.0834834198537986E-2</v>
      </c>
      <c r="AN22" s="1">
        <f>Table1[[#This Row],[Specificity]]+Table1[[#This Row],[Sensitivity]]-1</f>
        <v>0.41258970734860689</v>
      </c>
      <c r="AO22" s="4">
        <f>Table1[[#This Row],[FPR]]/Table1[[#This Row],[FP]]</f>
        <v>4.9304802287742831E-7</v>
      </c>
    </row>
    <row r="23" spans="1:41" x14ac:dyDescent="0.3">
      <c r="A23" t="s">
        <v>29</v>
      </c>
      <c r="B23" t="s">
        <v>36</v>
      </c>
      <c r="C23" t="s">
        <v>14</v>
      </c>
      <c r="D23">
        <v>150</v>
      </c>
      <c r="E23" s="2">
        <v>0.8061161</v>
      </c>
      <c r="F23">
        <v>8</v>
      </c>
      <c r="G23">
        <v>1009</v>
      </c>
      <c r="H23">
        <v>162240</v>
      </c>
      <c r="I23" s="1">
        <f>Table1[[#This Row],[PosPreBound]]/Table1[[#This Row],[NegActBound]]</f>
        <v>6.2191814595660751E-3</v>
      </c>
      <c r="J23">
        <v>2033600</v>
      </c>
      <c r="K23">
        <v>5400</v>
      </c>
      <c r="L23">
        <f>Table1[[#This Row],[Total]]-Table1[[#This Row],[PosAct]]</f>
        <v>2028200</v>
      </c>
      <c r="M23">
        <v>6481</v>
      </c>
      <c r="N23">
        <f>Table1[[#This Row],[Total]]-Table1[[#This Row],[PosPre]]</f>
        <v>2027119</v>
      </c>
      <c r="O23">
        <v>2235</v>
      </c>
      <c r="P23">
        <f>Table1[[#This Row],[PosPre]]-Table1[[#This Row],[TP]]</f>
        <v>4246</v>
      </c>
      <c r="Q23">
        <f>Table1[[#This Row],[PosAct]]-Table1[[#This Row],[TP]]</f>
        <v>3165</v>
      </c>
      <c r="R23">
        <f>Table1[[#This Row],[NegAct]]-Table1[[#This Row],[FP]]</f>
        <v>2023954</v>
      </c>
      <c r="S23" t="str">
        <f>IF(SUM(Table1[[#This Row],[TP]:[TN]])=Table1[[#This Row],[Total]],"","ERROR")</f>
        <v/>
      </c>
      <c r="T23" s="1">
        <f>Table1[[#This Row],[FP]]/(Table1[[#This Row],[FP]]+Table1[[#This Row],[TN]])</f>
        <v>2.0934819051375603E-3</v>
      </c>
      <c r="U23" s="1">
        <f>1-Table1[[#This Row],[FPR]]</f>
        <v>0.99790651809486242</v>
      </c>
      <c r="V23" s="1">
        <f>Table1[[#This Row],[FP]]/(Table1[[#This Row],[FP]]+Table1[[#This Row],[TP]])</f>
        <v>0.65514581083166179</v>
      </c>
      <c r="W23" s="1">
        <f>1-Table1[[#This Row],[FDR]]</f>
        <v>0.34485418916833821</v>
      </c>
      <c r="X23" s="1">
        <f>Table1[[#This Row],[FN]]/(Table1[[#This Row],[FN]]+Table1[[#This Row],[TP]])</f>
        <v>0.58611111111111114</v>
      </c>
      <c r="Y23" s="1">
        <f>1-Table1[[#This Row],[FNR]]</f>
        <v>0.41388888888888886</v>
      </c>
      <c r="Z23" s="1">
        <f>Table1[[#This Row],[TN]]/(Table1[[#This Row],[TN]]+Table1[[#This Row],[FN]])</f>
        <v>0.99843867084270832</v>
      </c>
      <c r="AA23" s="1">
        <f>1-Table1[[#This Row],[NPV]]</f>
        <v>1.5613291572916799E-3</v>
      </c>
      <c r="AB23" s="1">
        <f>Table1[[#This Row],[FNR]]/Table1[[#This Row],[FPR]]</f>
        <v>279.96951379075733</v>
      </c>
      <c r="AC23" s="1">
        <f>Table1[[#This Row],[Sensitivity]]/Table1[[#This Row],[Specificity]]</f>
        <v>0.41475717553088876</v>
      </c>
      <c r="AD23" s="1">
        <f>(Table1[[#This Row],[Sensitivity]]+Table1[[#This Row],[Specificity]])/2</f>
        <v>0.70589770349187564</v>
      </c>
      <c r="AE23" s="1">
        <f>(0.95*Table1[[#This Row],[Specificity]]+0.8*Table1[[#This Row],[Sensitivity]])/SUM(0.95,0.8)</f>
        <v>0.73092703045784602</v>
      </c>
      <c r="AF23" s="1">
        <f>AVERAGE((Table1[[#This Row],[Specificity]]-0.95)^2,(Table1[[#This Row],[Sensitivity]]-0.8)^2)</f>
        <v>7.568841229971511E-2</v>
      </c>
      <c r="AG23" s="1">
        <f>2*(Table1[[#This Row],[PPV]]*Table1[[#This Row],[Sensitivity]])/(Table1[[#This Row],[PPV]]+Table1[[#This Row],[Sensitivity]])</f>
        <v>0.3762309569901523</v>
      </c>
      <c r="AH23" s="1">
        <f>Table1[[#This Row],[Sensitivity]]/Table1[[#This Row],[FPR]]</f>
        <v>197.70359030721724</v>
      </c>
      <c r="AI23" s="1">
        <f>Table1[[#This Row],[FNR]]/Table1[[#This Row],[Specificity]]</f>
        <v>0.587340698235017</v>
      </c>
      <c r="AJ23" s="1">
        <f>Table1[[#This Row],[LRPlus]]/Table1[[#This Row],[LRMinus]]</f>
        <v>336.60802137724266</v>
      </c>
      <c r="AK23" s="1">
        <f>SQRT(Table1[[#This Row],[PPV]]*Table1[[#This Row],[Sensitivity]])</f>
        <v>0.37779798462083169</v>
      </c>
      <c r="AL23" s="1">
        <f>SQRT(Table1[[#This Row],[Sensitivity]]*Table1[[#This Row],[Specificity]]*Table1[[#This Row],[PPV]]*Table1[[#This Row],[NPV]]) - SQRT(Table1[[#This Row],[FNR]]*Table1[[#This Row],[FPR]]*Table1[[#This Row],[FOR]]*Table1[[#This Row],[FDR]])</f>
        <v>0.37598726441578423</v>
      </c>
      <c r="AM23" s="1">
        <f>Table1[[#This Row],[TP]]/(Table1[[#This Row],[TP]]+Table1[[#This Row],[FN]]+Table1[[#This Row],[FP]])</f>
        <v>0.23170226000414679</v>
      </c>
      <c r="AN23" s="1">
        <f>Table1[[#This Row],[Specificity]]+Table1[[#This Row],[Sensitivity]]-1</f>
        <v>0.41179540698375128</v>
      </c>
      <c r="AO23" s="4">
        <f>Table1[[#This Row],[FPR]]/Table1[[#This Row],[FP]]</f>
        <v>4.930480228774282E-7</v>
      </c>
    </row>
    <row r="24" spans="1:41" x14ac:dyDescent="0.3">
      <c r="A24" t="s">
        <v>29</v>
      </c>
      <c r="B24" t="s">
        <v>38</v>
      </c>
      <c r="C24" t="s">
        <v>14</v>
      </c>
      <c r="D24">
        <v>150</v>
      </c>
      <c r="E24" s="2">
        <v>0.8061161</v>
      </c>
      <c r="F24">
        <v>27</v>
      </c>
      <c r="G24">
        <v>697</v>
      </c>
      <c r="H24">
        <v>162240</v>
      </c>
      <c r="I24" s="1">
        <f>Table1[[#This Row],[PosPreBound]]/Table1[[#This Row],[NegActBound]]</f>
        <v>4.296104536489152E-3</v>
      </c>
      <c r="J24">
        <v>2033600</v>
      </c>
      <c r="K24">
        <v>5400</v>
      </c>
      <c r="L24">
        <f>Table1[[#This Row],[Total]]-Table1[[#This Row],[PosAct]]</f>
        <v>2028200</v>
      </c>
      <c r="M24">
        <v>2685</v>
      </c>
      <c r="N24">
        <f>Table1[[#This Row],[Total]]-Table1[[#This Row],[PosPre]]</f>
        <v>2030915</v>
      </c>
      <c r="O24">
        <v>1988</v>
      </c>
      <c r="P24">
        <f>Table1[[#This Row],[PosPre]]-Table1[[#This Row],[TP]]</f>
        <v>697</v>
      </c>
      <c r="Q24">
        <f>Table1[[#This Row],[PosAct]]-Table1[[#This Row],[TP]]</f>
        <v>3412</v>
      </c>
      <c r="R24">
        <f>Table1[[#This Row],[NegAct]]-Table1[[#This Row],[FP]]</f>
        <v>2027503</v>
      </c>
      <c r="S24" t="str">
        <f>IF(SUM(Table1[[#This Row],[TP]:[TN]])=Table1[[#This Row],[Total]],"","ERROR")</f>
        <v/>
      </c>
      <c r="T24" s="1">
        <f>Table1[[#This Row],[FP]]/(Table1[[#This Row],[FP]]+Table1[[#This Row],[TN]])</f>
        <v>3.4365447194556752E-4</v>
      </c>
      <c r="U24" s="1">
        <f>1-Table1[[#This Row],[FPR]]</f>
        <v>0.99965634552805438</v>
      </c>
      <c r="V24" s="1">
        <f>Table1[[#This Row],[FP]]/(Table1[[#This Row],[FP]]+Table1[[#This Row],[TP]])</f>
        <v>0.2595903165735568</v>
      </c>
      <c r="W24" s="1">
        <f>1-Table1[[#This Row],[FDR]]</f>
        <v>0.7404096834264432</v>
      </c>
      <c r="X24" s="1">
        <f>Table1[[#This Row],[FN]]/(Table1[[#This Row],[FN]]+Table1[[#This Row],[TP]])</f>
        <v>0.63185185185185189</v>
      </c>
      <c r="Y24" s="1">
        <f>1-Table1[[#This Row],[FNR]]</f>
        <v>0.36814814814814811</v>
      </c>
      <c r="Z24" s="1">
        <f>Table1[[#This Row],[TN]]/(Table1[[#This Row],[TN]]+Table1[[#This Row],[FN]])</f>
        <v>0.99831996907797715</v>
      </c>
      <c r="AA24" s="1">
        <f>1-Table1[[#This Row],[NPV]]</f>
        <v>1.680030922022846E-3</v>
      </c>
      <c r="AB24" s="1">
        <f>Table1[[#This Row],[FNR]]/Table1[[#This Row],[FPR]]</f>
        <v>1838.6254317445134</v>
      </c>
      <c r="AC24" s="1">
        <f>Table1[[#This Row],[Sensitivity]]/Table1[[#This Row],[Specificity]]</f>
        <v>0.36827470739824997</v>
      </c>
      <c r="AD24" s="1">
        <f>(Table1[[#This Row],[Sensitivity]]+Table1[[#This Row],[Specificity]])/2</f>
        <v>0.6839022468381013</v>
      </c>
      <c r="AE24" s="1">
        <f>(0.95*Table1[[#This Row],[Specificity]]+0.8*Table1[[#This Row],[Sensitivity]])/SUM(0.95,0.8)</f>
        <v>0.71096688386866869</v>
      </c>
      <c r="AF24" s="1">
        <f>AVERAGE((Table1[[#This Row],[Specificity]]-0.95)^2,(Table1[[#This Row],[Sensitivity]]-0.8)^2)</f>
        <v>9.44808872995377E-2</v>
      </c>
      <c r="AG24" s="1">
        <f>2*(Table1[[#This Row],[PPV]]*Table1[[#This Row],[Sensitivity]])/(Table1[[#This Row],[PPV]]+Table1[[#This Row],[Sensitivity]])</f>
        <v>0.49177489177489181</v>
      </c>
      <c r="AH24" s="1">
        <f>Table1[[#This Row],[Sensitivity]]/Table1[[#This Row],[FPR]]</f>
        <v>1071.2741378394173</v>
      </c>
      <c r="AI24" s="1">
        <f>Table1[[#This Row],[FNR]]/Table1[[#This Row],[Specificity]]</f>
        <v>0.63206906521269068</v>
      </c>
      <c r="AJ24" s="1">
        <f>Table1[[#This Row],[LRPlus]]/Table1[[#This Row],[LRMinus]]</f>
        <v>1694.8687996286205</v>
      </c>
      <c r="AK24" s="1">
        <f>SQRT(Table1[[#This Row],[PPV]]*Table1[[#This Row],[Sensitivity]])</f>
        <v>0.52209238054620344</v>
      </c>
      <c r="AL24" s="1">
        <f>SQRT(Table1[[#This Row],[Sensitivity]]*Table1[[#This Row],[Specificity]]*Table1[[#This Row],[PPV]]*Table1[[#This Row],[NPV]]) - SQRT(Table1[[#This Row],[FNR]]*Table1[[#This Row],[FPR]]*Table1[[#This Row],[FOR]]*Table1[[#This Row],[FDR]])</f>
        <v>0.52125625732741598</v>
      </c>
      <c r="AM24" s="1">
        <f>Table1[[#This Row],[TP]]/(Table1[[#This Row],[TP]]+Table1[[#This Row],[FN]]+Table1[[#This Row],[FP]])</f>
        <v>0.32606199770378874</v>
      </c>
      <c r="AN24" s="1">
        <f>Table1[[#This Row],[Specificity]]+Table1[[#This Row],[Sensitivity]]-1</f>
        <v>0.3678044936762026</v>
      </c>
      <c r="AO24" s="4">
        <f>Table1[[#This Row],[FPR]]/Table1[[#This Row],[FP]]</f>
        <v>4.9304802287742831E-7</v>
      </c>
    </row>
    <row r="25" spans="1:41" x14ac:dyDescent="0.3">
      <c r="A25" t="s">
        <v>29</v>
      </c>
      <c r="B25" t="s">
        <v>39</v>
      </c>
      <c r="C25" t="s">
        <v>14</v>
      </c>
      <c r="D25">
        <v>150</v>
      </c>
      <c r="E25" s="2">
        <v>0.8061161</v>
      </c>
      <c r="F25">
        <v>64</v>
      </c>
      <c r="G25">
        <v>472</v>
      </c>
      <c r="H25">
        <v>162240</v>
      </c>
      <c r="I25" s="1">
        <f>Table1[[#This Row],[PosPreBound]]/Table1[[#This Row],[NegActBound]]</f>
        <v>2.9092702169625246E-3</v>
      </c>
      <c r="J25">
        <v>2033600</v>
      </c>
      <c r="K25">
        <v>5400</v>
      </c>
      <c r="L25">
        <f>Table1[[#This Row],[Total]]-Table1[[#This Row],[PosAct]]</f>
        <v>2028200</v>
      </c>
      <c r="M25">
        <v>1998</v>
      </c>
      <c r="N25">
        <f>Table1[[#This Row],[Total]]-Table1[[#This Row],[PosPre]]</f>
        <v>2031602</v>
      </c>
      <c r="O25">
        <v>1526</v>
      </c>
      <c r="P25">
        <f>Table1[[#This Row],[PosPre]]-Table1[[#This Row],[TP]]</f>
        <v>472</v>
      </c>
      <c r="Q25">
        <f>Table1[[#This Row],[PosAct]]-Table1[[#This Row],[TP]]</f>
        <v>3874</v>
      </c>
      <c r="R25">
        <f>Table1[[#This Row],[NegAct]]-Table1[[#This Row],[FP]]</f>
        <v>2027728</v>
      </c>
      <c r="S25" t="str">
        <f>IF(SUM(Table1[[#This Row],[TP]:[TN]])=Table1[[#This Row],[Total]],"","ERROR")</f>
        <v/>
      </c>
      <c r="T25" s="1">
        <f>Table1[[#This Row],[FP]]/(Table1[[#This Row],[FP]]+Table1[[#This Row],[TN]])</f>
        <v>2.3271866679814613E-4</v>
      </c>
      <c r="U25" s="1">
        <f>1-Table1[[#This Row],[FPR]]</f>
        <v>0.99976728133320181</v>
      </c>
      <c r="V25" s="1">
        <f>Table1[[#This Row],[FP]]/(Table1[[#This Row],[FP]]+Table1[[#This Row],[TP]])</f>
        <v>0.23623623623623624</v>
      </c>
      <c r="W25" s="1">
        <f>1-Table1[[#This Row],[FDR]]</f>
        <v>0.76376376376376376</v>
      </c>
      <c r="X25" s="1">
        <f>Table1[[#This Row],[FN]]/(Table1[[#This Row],[FN]]+Table1[[#This Row],[TP]])</f>
        <v>0.71740740740740738</v>
      </c>
      <c r="Y25" s="1">
        <f>1-Table1[[#This Row],[FNR]]</f>
        <v>0.28259259259259262</v>
      </c>
      <c r="Z25" s="1">
        <f>Table1[[#This Row],[TN]]/(Table1[[#This Row],[TN]]+Table1[[#This Row],[FN]])</f>
        <v>0.99809313044582548</v>
      </c>
      <c r="AA25" s="1">
        <f>1-Table1[[#This Row],[NPV]]</f>
        <v>1.9068695541745173E-3</v>
      </c>
      <c r="AB25" s="1">
        <f>Table1[[#This Row],[FNR]]/Table1[[#This Row],[FPR]]</f>
        <v>3082.723948524796</v>
      </c>
      <c r="AC25" s="1">
        <f>Table1[[#This Row],[Sensitivity]]/Table1[[#This Row],[Specificity]]</f>
        <v>0.28265837247219372</v>
      </c>
      <c r="AD25" s="1">
        <f>(Table1[[#This Row],[Sensitivity]]+Table1[[#This Row],[Specificity]])/2</f>
        <v>0.64117993696289721</v>
      </c>
      <c r="AE25" s="1">
        <f>(0.95*Table1[[#This Row],[Specificity]]+0.8*Table1[[#This Row],[Sensitivity]])/SUM(0.95,0.8)</f>
        <v>0.67191599505178046</v>
      </c>
      <c r="AF25" s="1">
        <f>AVERAGE((Table1[[#This Row],[Specificity]]-0.95)^2,(Table1[[#This Row],[Sensitivity]]-0.8)^2)</f>
        <v>0.13509360376567647</v>
      </c>
      <c r="AG25" s="1">
        <f>2*(Table1[[#This Row],[PPV]]*Table1[[#This Row],[Sensitivity]])/(Table1[[#This Row],[PPV]]+Table1[[#This Row],[Sensitivity]])</f>
        <v>0.41254393079210605</v>
      </c>
      <c r="AH25" s="1">
        <f>Table1[[#This Row],[Sensitivity]]/Table1[[#This Row],[FPR]]</f>
        <v>1214.3099497802889</v>
      </c>
      <c r="AI25" s="1">
        <f>Table1[[#This Row],[FNR]]/Table1[[#This Row],[Specificity]]</f>
        <v>0.71757440036518894</v>
      </c>
      <c r="AJ25" s="1">
        <f>Table1[[#This Row],[LRPlus]]/Table1[[#This Row],[LRMinus]]</f>
        <v>1692.242573261115</v>
      </c>
      <c r="AK25" s="1">
        <f>SQRT(Table1[[#This Row],[PPV]]*Table1[[#This Row],[Sensitivity]])</f>
        <v>0.46457936042217635</v>
      </c>
      <c r="AL25" s="1">
        <f>SQRT(Table1[[#This Row],[Sensitivity]]*Table1[[#This Row],[Specificity]]*Table1[[#This Row],[PPV]]*Table1[[#This Row],[NPV]]) - SQRT(Table1[[#This Row],[FNR]]*Table1[[#This Row],[FPR]]*Table1[[#This Row],[FOR]]*Table1[[#This Row],[FDR]])</f>
        <v>0.46380795228037752</v>
      </c>
      <c r="AM25" s="1">
        <f>Table1[[#This Row],[TP]]/(Table1[[#This Row],[TP]]+Table1[[#This Row],[FN]]+Table1[[#This Row],[FP]])</f>
        <v>0.25987738419618528</v>
      </c>
      <c r="AN25" s="1">
        <f>Table1[[#This Row],[Specificity]]+Table1[[#This Row],[Sensitivity]]-1</f>
        <v>0.28235987392579442</v>
      </c>
      <c r="AO25" s="4">
        <f>Table1[[#This Row],[FPR]]/Table1[[#This Row],[FP]]</f>
        <v>4.930480228774282E-7</v>
      </c>
    </row>
    <row r="26" spans="1:41" x14ac:dyDescent="0.3">
      <c r="A26" t="s">
        <v>29</v>
      </c>
      <c r="B26" t="s">
        <v>37</v>
      </c>
      <c r="C26" t="s">
        <v>14</v>
      </c>
      <c r="D26">
        <v>150</v>
      </c>
      <c r="E26" s="2">
        <v>0.8061161</v>
      </c>
      <c r="F26">
        <v>125</v>
      </c>
      <c r="G26">
        <v>176</v>
      </c>
      <c r="H26">
        <v>162240</v>
      </c>
      <c r="I26" s="1">
        <f>Table1[[#This Row],[PosPreBound]]/Table1[[#This Row],[NegActBound]]</f>
        <v>1.0848126232741618E-3</v>
      </c>
      <c r="J26">
        <v>2033600</v>
      </c>
      <c r="K26">
        <v>5400</v>
      </c>
      <c r="L26">
        <f>Table1[[#This Row],[Total]]-Table1[[#This Row],[PosAct]]</f>
        <v>2028200</v>
      </c>
      <c r="M26">
        <v>955</v>
      </c>
      <c r="N26">
        <f>Table1[[#This Row],[Total]]-Table1[[#This Row],[PosPre]]</f>
        <v>2032645</v>
      </c>
      <c r="O26">
        <v>779</v>
      </c>
      <c r="P26">
        <f>Table1[[#This Row],[PosPre]]-Table1[[#This Row],[TP]]</f>
        <v>176</v>
      </c>
      <c r="Q26">
        <f>Table1[[#This Row],[PosAct]]-Table1[[#This Row],[TP]]</f>
        <v>4621</v>
      </c>
      <c r="R26">
        <f>Table1[[#This Row],[NegAct]]-Table1[[#This Row],[FP]]</f>
        <v>2028024</v>
      </c>
      <c r="S26" t="str">
        <f>IF(SUM(Table1[[#This Row],[TP]:[TN]])=Table1[[#This Row],[Total]],"","ERROR")</f>
        <v/>
      </c>
      <c r="T26" s="1">
        <f>Table1[[#This Row],[FP]]/(Table1[[#This Row],[FP]]+Table1[[#This Row],[TN]])</f>
        <v>8.6776452026427367E-5</v>
      </c>
      <c r="U26" s="1">
        <f>1-Table1[[#This Row],[FPR]]</f>
        <v>0.99991322354797352</v>
      </c>
      <c r="V26" s="1">
        <f>Table1[[#This Row],[FP]]/(Table1[[#This Row],[FP]]+Table1[[#This Row],[TP]])</f>
        <v>0.18429319371727748</v>
      </c>
      <c r="W26" s="1">
        <f>1-Table1[[#This Row],[FDR]]</f>
        <v>0.81570680628272252</v>
      </c>
      <c r="X26" s="1">
        <f>Table1[[#This Row],[FN]]/(Table1[[#This Row],[FN]]+Table1[[#This Row],[TP]])</f>
        <v>0.85574074074074069</v>
      </c>
      <c r="Y26" s="1">
        <f>1-Table1[[#This Row],[FNR]]</f>
        <v>0.14425925925925931</v>
      </c>
      <c r="Z26" s="1">
        <f>Table1[[#This Row],[TN]]/(Table1[[#This Row],[TN]]+Table1[[#This Row],[FN]])</f>
        <v>0.99772660744989905</v>
      </c>
      <c r="AA26" s="1">
        <f>1-Table1[[#This Row],[NPV]]</f>
        <v>2.27339255010095E-3</v>
      </c>
      <c r="AB26" s="1">
        <f>Table1[[#This Row],[FNR]]/Table1[[#This Row],[FPR]]</f>
        <v>9861.4396043771048</v>
      </c>
      <c r="AC26" s="1">
        <f>Table1[[#This Row],[Sensitivity]]/Table1[[#This Row],[Specificity]]</f>
        <v>0.14427177865233831</v>
      </c>
      <c r="AD26" s="1">
        <f>(Table1[[#This Row],[Sensitivity]]+Table1[[#This Row],[Specificity]])/2</f>
        <v>0.57208624140361641</v>
      </c>
      <c r="AE26" s="1">
        <f>(0.95*Table1[[#This Row],[Specificity]]+0.8*Table1[[#This Row],[Sensitivity]])/SUM(0.95,0.8)</f>
        <v>0.60875712558741846</v>
      </c>
      <c r="AF26" s="1">
        <f>AVERAGE((Table1[[#This Row],[Specificity]]-0.95)^2,(Table1[[#This Row],[Sensitivity]]-0.8)^2)</f>
        <v>0.21624362447608267</v>
      </c>
      <c r="AG26" s="1">
        <f>2*(Table1[[#This Row],[PPV]]*Table1[[#This Row],[Sensitivity]])/(Table1[[#This Row],[PPV]]+Table1[[#This Row],[Sensitivity]])</f>
        <v>0.24516129032258072</v>
      </c>
      <c r="AH26" s="1">
        <f>Table1[[#This Row],[Sensitivity]]/Table1[[#This Row],[FPR]]</f>
        <v>1662.4240319865328</v>
      </c>
      <c r="AI26" s="1">
        <f>Table1[[#This Row],[FNR]]/Table1[[#This Row],[Specificity]]</f>
        <v>0.85581500533049426</v>
      </c>
      <c r="AJ26" s="1">
        <f>Table1[[#This Row],[LRPlus]]/Table1[[#This Row],[LRMinus]]</f>
        <v>1942.5039542798695</v>
      </c>
      <c r="AK26" s="1">
        <f>SQRT(Table1[[#This Row],[PPV]]*Table1[[#This Row],[Sensitivity]])</f>
        <v>0.3430353620941749</v>
      </c>
      <c r="AL26" s="1">
        <f>SQRT(Table1[[#This Row],[Sensitivity]]*Table1[[#This Row],[Specificity]]*Table1[[#This Row],[PPV]]*Table1[[#This Row],[NPV]]) - SQRT(Table1[[#This Row],[FNR]]*Table1[[#This Row],[FPR]]*Table1[[#This Row],[FOR]]*Table1[[#This Row],[FDR]])</f>
        <v>0.34245396019931662</v>
      </c>
      <c r="AM26" s="1">
        <f>Table1[[#This Row],[TP]]/(Table1[[#This Row],[TP]]+Table1[[#This Row],[FN]]+Table1[[#This Row],[FP]])</f>
        <v>0.13970588235294118</v>
      </c>
      <c r="AN26" s="1">
        <f>Table1[[#This Row],[Specificity]]+Table1[[#This Row],[Sensitivity]]-1</f>
        <v>0.14417248280723283</v>
      </c>
      <c r="AO26" s="4">
        <f>Table1[[#This Row],[FPR]]/Table1[[#This Row],[FP]]</f>
        <v>4.930480228774282E-7</v>
      </c>
    </row>
    <row r="27" spans="1:41" x14ac:dyDescent="0.3">
      <c r="A27" t="s">
        <v>29</v>
      </c>
      <c r="B27" t="s">
        <v>40</v>
      </c>
      <c r="C27" t="s">
        <v>14</v>
      </c>
      <c r="D27">
        <v>150</v>
      </c>
      <c r="E27" s="2">
        <v>0.94959170000000004</v>
      </c>
      <c r="F27">
        <v>1</v>
      </c>
      <c r="G27">
        <v>1072</v>
      </c>
      <c r="H27">
        <v>162240</v>
      </c>
      <c r="I27" s="1">
        <f>Table1[[#This Row],[PosPreBound]]/Table1[[#This Row],[NegActBound]]</f>
        <v>6.6074950690335303E-3</v>
      </c>
      <c r="J27">
        <v>2033600</v>
      </c>
      <c r="K27">
        <v>5400</v>
      </c>
      <c r="L27">
        <f>Table1[[#This Row],[Total]]-Table1[[#This Row],[PosAct]]</f>
        <v>2028200</v>
      </c>
      <c r="M27">
        <v>10643</v>
      </c>
      <c r="N27">
        <f>Table1[[#This Row],[Total]]-Table1[[#This Row],[PosPre]]</f>
        <v>2022957</v>
      </c>
      <c r="O27">
        <v>703</v>
      </c>
      <c r="P27">
        <f>Table1[[#This Row],[PosPre]]-Table1[[#This Row],[TP]]</f>
        <v>9940</v>
      </c>
      <c r="Q27">
        <f>Table1[[#This Row],[PosAct]]-Table1[[#This Row],[TP]]</f>
        <v>4697</v>
      </c>
      <c r="R27">
        <f>Table1[[#This Row],[NegAct]]-Table1[[#This Row],[FP]]</f>
        <v>2018260</v>
      </c>
      <c r="S27" t="str">
        <f>IF(SUM(Table1[[#This Row],[TP]:[TN]])=Table1[[#This Row],[Total]],"","ERROR")</f>
        <v/>
      </c>
      <c r="T27" s="1">
        <f>Table1[[#This Row],[FP]]/(Table1[[#This Row],[FP]]+Table1[[#This Row],[TN]])</f>
        <v>4.9008973474016365E-3</v>
      </c>
      <c r="U27" s="1">
        <f>1-Table1[[#This Row],[FPR]]</f>
        <v>0.99509910265259838</v>
      </c>
      <c r="V27" s="1">
        <f>Table1[[#This Row],[FP]]/(Table1[[#This Row],[FP]]+Table1[[#This Row],[TP]])</f>
        <v>0.93394719533965986</v>
      </c>
      <c r="W27" s="1">
        <f>1-Table1[[#This Row],[FDR]]</f>
        <v>6.6052804660340136E-2</v>
      </c>
      <c r="X27" s="1">
        <f>Table1[[#This Row],[FN]]/(Table1[[#This Row],[FN]]+Table1[[#This Row],[TP]])</f>
        <v>0.86981481481481482</v>
      </c>
      <c r="Y27" s="1">
        <f>1-Table1[[#This Row],[FNR]]</f>
        <v>0.13018518518518518</v>
      </c>
      <c r="Z27" s="1">
        <f>Table1[[#This Row],[TN]]/(Table1[[#This Row],[TN]]+Table1[[#This Row],[FN]])</f>
        <v>0.99767815133984561</v>
      </c>
      <c r="AA27" s="1">
        <f>1-Table1[[#This Row],[NPV]]</f>
        <v>2.3218486601543908E-3</v>
      </c>
      <c r="AB27" s="1">
        <f>Table1[[#This Row],[FNR]]/Table1[[#This Row],[FPR]]</f>
        <v>177.48072509128849</v>
      </c>
      <c r="AC27" s="1">
        <f>Table1[[#This Row],[Sensitivity]]/Table1[[#This Row],[Specificity]]</f>
        <v>0.13082635170522755</v>
      </c>
      <c r="AD27" s="1">
        <f>(Table1[[#This Row],[Sensitivity]]+Table1[[#This Row],[Specificity]])/2</f>
        <v>0.56264214391889178</v>
      </c>
      <c r="AE27" s="1">
        <f>(0.95*Table1[[#This Row],[Specificity]]+0.8*Table1[[#This Row],[Sensitivity]])/SUM(0.95,0.8)</f>
        <v>0.59970988323892371</v>
      </c>
      <c r="AF27" s="1">
        <f>AVERAGE((Table1[[#This Row],[Specificity]]-0.95)^2,(Table1[[#This Row],[Sensitivity]]-0.8)^2)</f>
        <v>0.22534290760273717</v>
      </c>
      <c r="AG27" s="1">
        <f>2*(Table1[[#This Row],[PPV]]*Table1[[#This Row],[Sensitivity]])/(Table1[[#This Row],[PPV]]+Table1[[#This Row],[Sensitivity]])</f>
        <v>8.7639468927258005E-2</v>
      </c>
      <c r="AH27" s="1">
        <f>Table1[[#This Row],[Sensitivity]]/Table1[[#This Row],[FPR]]</f>
        <v>26.563540502272897</v>
      </c>
      <c r="AI27" s="1">
        <f>Table1[[#This Row],[FNR]]/Table1[[#This Row],[Specificity]]</f>
        <v>0.87409868273037539</v>
      </c>
      <c r="AJ27" s="1">
        <f>Table1[[#This Row],[LRPlus]]/Table1[[#This Row],[LRMinus]]</f>
        <v>30.389635663673332</v>
      </c>
      <c r="AK27" s="1">
        <f>SQRT(Table1[[#This Row],[PPV]]*Table1[[#This Row],[Sensitivity]])</f>
        <v>9.2731314056834352E-2</v>
      </c>
      <c r="AL27" s="1">
        <f>SQRT(Table1[[#This Row],[Sensitivity]]*Table1[[#This Row],[Specificity]]*Table1[[#This Row],[PPV]]*Table1[[#This Row],[NPV]]) - SQRT(Table1[[#This Row],[FNR]]*Table1[[#This Row],[FPR]]*Table1[[#This Row],[FOR]]*Table1[[#This Row],[FDR]])</f>
        <v>8.9355959150491965E-2</v>
      </c>
      <c r="AM27" s="1">
        <f>Table1[[#This Row],[TP]]/(Table1[[#This Row],[TP]]+Table1[[#This Row],[FN]]+Table1[[#This Row],[FP]])</f>
        <v>4.5827900912646678E-2</v>
      </c>
      <c r="AN27" s="1">
        <f>Table1[[#This Row],[Specificity]]+Table1[[#This Row],[Sensitivity]]-1</f>
        <v>0.12528428783778356</v>
      </c>
      <c r="AO27" s="4">
        <f>Table1[[#This Row],[FPR]]/Table1[[#This Row],[FP]]</f>
        <v>4.930480228774282E-7</v>
      </c>
    </row>
    <row r="28" spans="1:41" x14ac:dyDescent="0.3">
      <c r="A28" t="s">
        <v>29</v>
      </c>
      <c r="B28" t="s">
        <v>41</v>
      </c>
      <c r="C28" t="s">
        <v>14</v>
      </c>
      <c r="D28">
        <v>150</v>
      </c>
      <c r="E28" s="2">
        <v>0.94959170000000004</v>
      </c>
      <c r="F28">
        <v>8</v>
      </c>
      <c r="G28">
        <v>258</v>
      </c>
      <c r="H28">
        <v>162240</v>
      </c>
      <c r="I28" s="1">
        <f>Table1[[#This Row],[PosPreBound]]/Table1[[#This Row],[NegActBound]]</f>
        <v>1.5902366863905326E-3</v>
      </c>
      <c r="J28">
        <v>2033600</v>
      </c>
      <c r="K28">
        <v>5400</v>
      </c>
      <c r="L28">
        <f>Table1[[#This Row],[Total]]-Table1[[#This Row],[PosAct]]</f>
        <v>2028200</v>
      </c>
      <c r="M28">
        <v>1368</v>
      </c>
      <c r="N28">
        <f>Table1[[#This Row],[Total]]-Table1[[#This Row],[PosPre]]</f>
        <v>2032232</v>
      </c>
      <c r="O28">
        <v>650</v>
      </c>
      <c r="P28">
        <f>Table1[[#This Row],[PosPre]]-Table1[[#This Row],[TP]]</f>
        <v>718</v>
      </c>
      <c r="Q28">
        <f>Table1[[#This Row],[PosAct]]-Table1[[#This Row],[TP]]</f>
        <v>4750</v>
      </c>
      <c r="R28">
        <f>Table1[[#This Row],[NegAct]]-Table1[[#This Row],[FP]]</f>
        <v>2027482</v>
      </c>
      <c r="S28" t="str">
        <f>IF(SUM(Table1[[#This Row],[TP]:[TN]])=Table1[[#This Row],[Total]],"","ERROR")</f>
        <v/>
      </c>
      <c r="T28" s="1">
        <f>Table1[[#This Row],[FP]]/(Table1[[#This Row],[FP]]+Table1[[#This Row],[TN]])</f>
        <v>3.5400848042599348E-4</v>
      </c>
      <c r="U28" s="1">
        <f>1-Table1[[#This Row],[FPR]]</f>
        <v>0.99964599151957401</v>
      </c>
      <c r="V28" s="1">
        <f>Table1[[#This Row],[FP]]/(Table1[[#This Row],[FP]]+Table1[[#This Row],[TP]])</f>
        <v>0.52485380116959068</v>
      </c>
      <c r="W28" s="1">
        <f>1-Table1[[#This Row],[FDR]]</f>
        <v>0.47514619883040932</v>
      </c>
      <c r="X28" s="1">
        <f>Table1[[#This Row],[FN]]/(Table1[[#This Row],[FN]]+Table1[[#This Row],[TP]])</f>
        <v>0.87962962962962965</v>
      </c>
      <c r="Y28" s="1">
        <f>1-Table1[[#This Row],[FNR]]</f>
        <v>0.12037037037037035</v>
      </c>
      <c r="Z28" s="1">
        <f>Table1[[#This Row],[TN]]/(Table1[[#This Row],[TN]]+Table1[[#This Row],[FN]])</f>
        <v>0.99766266843549356</v>
      </c>
      <c r="AA28" s="1">
        <f>1-Table1[[#This Row],[NPV]]</f>
        <v>2.3373315645064396E-3</v>
      </c>
      <c r="AB28" s="1">
        <f>Table1[[#This Row],[FNR]]/Table1[[#This Row],[FPR]]</f>
        <v>2484.7699370679875</v>
      </c>
      <c r="AC28" s="1">
        <f>Table1[[#This Row],[Sensitivity]]/Table1[[#This Row],[Specificity]]</f>
        <v>0.12041299759267167</v>
      </c>
      <c r="AD28" s="1">
        <f>(Table1[[#This Row],[Sensitivity]]+Table1[[#This Row],[Specificity]])/2</f>
        <v>0.56000818094497218</v>
      </c>
      <c r="AE28" s="1">
        <f>(0.95*Table1[[#This Row],[Specificity]]+0.8*Table1[[#This Row],[Sensitivity]])/SUM(0.95,0.8)</f>
        <v>0.59769142185136659</v>
      </c>
      <c r="AF28" s="1">
        <f>AVERAGE((Table1[[#This Row],[Specificity]]-0.95)^2,(Table1[[#This Row],[Sensitivity]]-0.8)^2)</f>
        <v>0.23218057897223462</v>
      </c>
      <c r="AG28" s="1">
        <f>2*(Table1[[#This Row],[PPV]]*Table1[[#This Row],[Sensitivity]])/(Table1[[#This Row],[PPV]]+Table1[[#This Row],[Sensitivity]])</f>
        <v>0.19208037825059099</v>
      </c>
      <c r="AH28" s="1">
        <f>Table1[[#This Row],[Sensitivity]]/Table1[[#This Row],[FPR]]</f>
        <v>340.02114928298766</v>
      </c>
      <c r="AI28" s="1">
        <f>Table1[[#This Row],[FNR]]/Table1[[#This Row],[Specificity]]</f>
        <v>0.87994113625413928</v>
      </c>
      <c r="AJ28" s="1">
        <f>Table1[[#This Row],[LRPlus]]/Table1[[#This Row],[LRMinus]]</f>
        <v>386.413517079607</v>
      </c>
      <c r="AK28" s="1">
        <f>SQRT(Table1[[#This Row],[PPV]]*Table1[[#This Row],[Sensitivity]])</f>
        <v>0.23915167558118844</v>
      </c>
      <c r="AL28" s="1">
        <f>SQRT(Table1[[#This Row],[Sensitivity]]*Table1[[#This Row],[Specificity]]*Table1[[#This Row],[PPV]]*Table1[[#This Row],[NPV]]) - SQRT(Table1[[#This Row],[FNR]]*Table1[[#This Row],[FPR]]*Table1[[#This Row],[FOR]]*Table1[[#This Row],[FDR]])</f>
        <v>0.23821167082777298</v>
      </c>
      <c r="AM28" s="1">
        <f>Table1[[#This Row],[TP]]/(Table1[[#This Row],[TP]]+Table1[[#This Row],[FN]]+Table1[[#This Row],[FP]])</f>
        <v>0.10624387054593004</v>
      </c>
      <c r="AN28" s="1">
        <f>Table1[[#This Row],[Specificity]]+Table1[[#This Row],[Sensitivity]]-1</f>
        <v>0.12001636188994436</v>
      </c>
      <c r="AO28" s="4">
        <f>Table1[[#This Row],[FPR]]/Table1[[#This Row],[FP]]</f>
        <v>4.930480228774282E-7</v>
      </c>
    </row>
    <row r="29" spans="1:41" x14ac:dyDescent="0.3">
      <c r="A29" t="s">
        <v>29</v>
      </c>
      <c r="B29" t="s">
        <v>43</v>
      </c>
      <c r="C29" t="s">
        <v>14</v>
      </c>
      <c r="D29">
        <v>150</v>
      </c>
      <c r="E29" s="2">
        <v>0.94959170000000004</v>
      </c>
      <c r="F29">
        <v>27</v>
      </c>
      <c r="G29">
        <v>150</v>
      </c>
      <c r="H29">
        <v>162240</v>
      </c>
      <c r="I29" s="1">
        <f>Table1[[#This Row],[PosPreBound]]/Table1[[#This Row],[NegActBound]]</f>
        <v>9.2455621301775143E-4</v>
      </c>
      <c r="J29">
        <v>2033600</v>
      </c>
      <c r="K29">
        <v>5400</v>
      </c>
      <c r="L29">
        <f>Table1[[#This Row],[Total]]-Table1[[#This Row],[PosAct]]</f>
        <v>2028200</v>
      </c>
      <c r="M29">
        <v>657</v>
      </c>
      <c r="N29">
        <f>Table1[[#This Row],[Total]]-Table1[[#This Row],[PosPre]]</f>
        <v>2032943</v>
      </c>
      <c r="O29">
        <v>507</v>
      </c>
      <c r="P29">
        <f>Table1[[#This Row],[PosPre]]-Table1[[#This Row],[TP]]</f>
        <v>150</v>
      </c>
      <c r="Q29">
        <f>Table1[[#This Row],[PosAct]]-Table1[[#This Row],[TP]]</f>
        <v>4893</v>
      </c>
      <c r="R29">
        <f>Table1[[#This Row],[NegAct]]-Table1[[#This Row],[FP]]</f>
        <v>2028050</v>
      </c>
      <c r="S29" t="str">
        <f>IF(SUM(Table1[[#This Row],[TP]:[TN]])=Table1[[#This Row],[Total]],"","ERROR")</f>
        <v/>
      </c>
      <c r="T29" s="1">
        <f>Table1[[#This Row],[FP]]/(Table1[[#This Row],[FP]]+Table1[[#This Row],[TN]])</f>
        <v>7.3957203431614243E-5</v>
      </c>
      <c r="U29" s="1">
        <f>1-Table1[[#This Row],[FPR]]</f>
        <v>0.99992604279656838</v>
      </c>
      <c r="V29" s="1">
        <f>Table1[[#This Row],[FP]]/(Table1[[#This Row],[FP]]+Table1[[#This Row],[TP]])</f>
        <v>0.22831050228310501</v>
      </c>
      <c r="W29" s="1">
        <f>1-Table1[[#This Row],[FDR]]</f>
        <v>0.77168949771689499</v>
      </c>
      <c r="X29" s="1">
        <f>Table1[[#This Row],[FN]]/(Table1[[#This Row],[FN]]+Table1[[#This Row],[TP]])</f>
        <v>0.90611111111111109</v>
      </c>
      <c r="Y29" s="1">
        <f>1-Table1[[#This Row],[FNR]]</f>
        <v>9.3888888888888911E-2</v>
      </c>
      <c r="Z29" s="1">
        <f>Table1[[#This Row],[TN]]/(Table1[[#This Row],[TN]]+Table1[[#This Row],[FN]])</f>
        <v>0.99759314452003822</v>
      </c>
      <c r="AA29" s="1">
        <f>1-Table1[[#This Row],[NPV]]</f>
        <v>2.4068554799617781E-3</v>
      </c>
      <c r="AB29" s="1">
        <f>Table1[[#This Row],[FNR]]/Table1[[#This Row],[FPR]]</f>
        <v>12251.83037037037</v>
      </c>
      <c r="AC29" s="1">
        <f>Table1[[#This Row],[Sensitivity]]/Table1[[#This Row],[Specificity]]</f>
        <v>9.3895833162123465E-2</v>
      </c>
      <c r="AD29" s="1">
        <f>(Table1[[#This Row],[Sensitivity]]+Table1[[#This Row],[Specificity]])/2</f>
        <v>0.54690746584272865</v>
      </c>
      <c r="AE29" s="1">
        <f>(0.95*Table1[[#This Row],[Specificity]]+0.8*Table1[[#This Row],[Sensitivity]])/SUM(0.95,0.8)</f>
        <v>0.58573762958162923</v>
      </c>
      <c r="AF29" s="1">
        <f>AVERAGE((Table1[[#This Row],[Specificity]]-0.95)^2,(Table1[[#This Row],[Sensitivity]]-0.8)^2)</f>
        <v>0.25054275549194638</v>
      </c>
      <c r="AG29" s="1">
        <f>2*(Table1[[#This Row],[PPV]]*Table1[[#This Row],[Sensitivity]])/(Table1[[#This Row],[PPV]]+Table1[[#This Row],[Sensitivity]])</f>
        <v>0.16740960871718677</v>
      </c>
      <c r="AH29" s="1">
        <f>Table1[[#This Row],[Sensitivity]]/Table1[[#This Row],[FPR]]</f>
        <v>1269.5029629629632</v>
      </c>
      <c r="AI29" s="1">
        <f>Table1[[#This Row],[FNR]]/Table1[[#This Row],[Specificity]]</f>
        <v>0.90617812951138066</v>
      </c>
      <c r="AJ29" s="1">
        <f>Table1[[#This Row],[LRPlus]]/Table1[[#This Row],[LRMinus]]</f>
        <v>1400.9419578990398</v>
      </c>
      <c r="AK29" s="1">
        <f>SQRT(Table1[[#This Row],[PPV]]*Table1[[#This Row],[Sensitivity]])</f>
        <v>0.26917107851302313</v>
      </c>
      <c r="AL29" s="1">
        <f>SQRT(Table1[[#This Row],[Sensitivity]]*Table1[[#This Row],[Specificity]]*Table1[[#This Row],[PPV]]*Table1[[#This Row],[NPV]]) - SQRT(Table1[[#This Row],[FNR]]*Table1[[#This Row],[FPR]]*Table1[[#This Row],[FOR]]*Table1[[#This Row],[FDR]])</f>
        <v>0.26864511633057092</v>
      </c>
      <c r="AM29" s="1">
        <f>Table1[[#This Row],[TP]]/(Table1[[#This Row],[TP]]+Table1[[#This Row],[FN]]+Table1[[#This Row],[FP]])</f>
        <v>9.1351351351351348E-2</v>
      </c>
      <c r="AN29" s="1">
        <f>Table1[[#This Row],[Specificity]]+Table1[[#This Row],[Sensitivity]]-1</f>
        <v>9.3814931685457292E-2</v>
      </c>
      <c r="AO29" s="4">
        <f>Table1[[#This Row],[FPR]]/Table1[[#This Row],[FP]]</f>
        <v>4.9304802287742831E-7</v>
      </c>
    </row>
    <row r="30" spans="1:41" x14ac:dyDescent="0.3">
      <c r="A30" t="s">
        <v>29</v>
      </c>
      <c r="B30" t="s">
        <v>44</v>
      </c>
      <c r="C30" t="s">
        <v>14</v>
      </c>
      <c r="D30">
        <v>150</v>
      </c>
      <c r="E30" s="2">
        <v>0.94959170000000004</v>
      </c>
      <c r="F30">
        <v>64</v>
      </c>
      <c r="G30">
        <v>41</v>
      </c>
      <c r="H30">
        <v>162240</v>
      </c>
      <c r="I30" s="1">
        <f>Table1[[#This Row],[PosPreBound]]/Table1[[#This Row],[NegActBound]]</f>
        <v>2.5271203155818542E-4</v>
      </c>
      <c r="J30">
        <v>2033600</v>
      </c>
      <c r="K30">
        <v>5400</v>
      </c>
      <c r="L30">
        <f>Table1[[#This Row],[Total]]-Table1[[#This Row],[PosAct]]</f>
        <v>2028200</v>
      </c>
      <c r="M30">
        <v>207</v>
      </c>
      <c r="N30">
        <f>Table1[[#This Row],[Total]]-Table1[[#This Row],[PosPre]]</f>
        <v>2033393</v>
      </c>
      <c r="O30">
        <v>166</v>
      </c>
      <c r="P30">
        <f>Table1[[#This Row],[PosPre]]-Table1[[#This Row],[TP]]</f>
        <v>41</v>
      </c>
      <c r="Q30">
        <f>Table1[[#This Row],[PosAct]]-Table1[[#This Row],[TP]]</f>
        <v>5234</v>
      </c>
      <c r="R30">
        <f>Table1[[#This Row],[NegAct]]-Table1[[#This Row],[FP]]</f>
        <v>2028159</v>
      </c>
      <c r="S30" t="str">
        <f>IF(SUM(Table1[[#This Row],[TP]:[TN]])=Table1[[#This Row],[Total]],"","ERROR")</f>
        <v/>
      </c>
      <c r="T30" s="1">
        <f>Table1[[#This Row],[FP]]/(Table1[[#This Row],[FP]]+Table1[[#This Row],[TN]])</f>
        <v>2.021496893797456E-5</v>
      </c>
      <c r="U30" s="1">
        <f>1-Table1[[#This Row],[FPR]]</f>
        <v>0.999979785031062</v>
      </c>
      <c r="V30" s="1">
        <f>Table1[[#This Row],[FP]]/(Table1[[#This Row],[FP]]+Table1[[#This Row],[TP]])</f>
        <v>0.19806763285024154</v>
      </c>
      <c r="W30" s="1">
        <f>1-Table1[[#This Row],[FDR]]</f>
        <v>0.80193236714975846</v>
      </c>
      <c r="X30" s="1">
        <f>Table1[[#This Row],[FN]]/(Table1[[#This Row],[FN]]+Table1[[#This Row],[TP]])</f>
        <v>0.96925925925925926</v>
      </c>
      <c r="Y30" s="1">
        <f>1-Table1[[#This Row],[FNR]]</f>
        <v>3.0740740740740735E-2</v>
      </c>
      <c r="Z30" s="1">
        <f>Table1[[#This Row],[TN]]/(Table1[[#This Row],[TN]]+Table1[[#This Row],[FN]])</f>
        <v>0.99742597717214532</v>
      </c>
      <c r="AA30" s="1">
        <f>1-Table1[[#This Row],[NPV]]</f>
        <v>2.5740228278546828E-3</v>
      </c>
      <c r="AB30" s="1">
        <f>Table1[[#This Row],[FNR]]/Table1[[#This Row],[FPR]]</f>
        <v>47947.600722673895</v>
      </c>
      <c r="AC30" s="1">
        <f>Table1[[#This Row],[Sensitivity]]/Table1[[#This Row],[Specificity]]</f>
        <v>3.0741362176422243E-2</v>
      </c>
      <c r="AD30" s="1">
        <f>(Table1[[#This Row],[Sensitivity]]+Table1[[#This Row],[Specificity]])/2</f>
        <v>0.51536026288590131</v>
      </c>
      <c r="AE30" s="1">
        <f>(0.95*Table1[[#This Row],[Specificity]]+0.8*Table1[[#This Row],[Sensitivity]])/SUM(0.95,0.8)</f>
        <v>0.55689907906977232</v>
      </c>
      <c r="AF30" s="1">
        <f>AVERAGE((Table1[[#This Row],[Specificity]]-0.95)^2,(Table1[[#This Row],[Sensitivity]]-0.8)^2)</f>
        <v>0.29712889343392773</v>
      </c>
      <c r="AG30" s="1">
        <f>2*(Table1[[#This Row],[PPV]]*Table1[[#This Row],[Sensitivity]])/(Table1[[#This Row],[PPV]]+Table1[[#This Row],[Sensitivity]])</f>
        <v>5.9211699661137852E-2</v>
      </c>
      <c r="AH30" s="1">
        <f>Table1[[#This Row],[Sensitivity]]/Table1[[#This Row],[FPR]]</f>
        <v>1520.6919602529356</v>
      </c>
      <c r="AI30" s="1">
        <f>Table1[[#This Row],[FNR]]/Table1[[#This Row],[Specificity]]</f>
        <v>0.96927885320116902</v>
      </c>
      <c r="AJ30" s="1">
        <f>Table1[[#This Row],[LRPlus]]/Table1[[#This Row],[LRMinus]]</f>
        <v>1568.8900621638998</v>
      </c>
      <c r="AK30" s="1">
        <f>SQRT(Table1[[#This Row],[PPV]]*Table1[[#This Row],[Sensitivity]])</f>
        <v>0.15700953789550251</v>
      </c>
      <c r="AL30" s="1">
        <f>SQRT(Table1[[#This Row],[Sensitivity]]*Table1[[#This Row],[Specificity]]*Table1[[#This Row],[PPV]]*Table1[[#This Row],[NPV]]) - SQRT(Table1[[#This Row],[FNR]]*Table1[[#This Row],[FPR]]*Table1[[#This Row],[FOR]]*Table1[[#This Row],[FDR]])</f>
        <v>0.15670580275677934</v>
      </c>
      <c r="AM30" s="1">
        <f>Table1[[#This Row],[TP]]/(Table1[[#This Row],[TP]]+Table1[[#This Row],[FN]]+Table1[[#This Row],[FP]])</f>
        <v>3.0509097592354345E-2</v>
      </c>
      <c r="AN30" s="1">
        <f>Table1[[#This Row],[Specificity]]+Table1[[#This Row],[Sensitivity]]-1</f>
        <v>3.072052577180262E-2</v>
      </c>
      <c r="AO30" s="4">
        <f>Table1[[#This Row],[FPR]]/Table1[[#This Row],[FP]]</f>
        <v>4.9304802287742831E-7</v>
      </c>
    </row>
    <row r="31" spans="1:41" x14ac:dyDescent="0.3">
      <c r="A31" t="s">
        <v>29</v>
      </c>
      <c r="B31" t="s">
        <v>42</v>
      </c>
      <c r="C31" t="s">
        <v>14</v>
      </c>
      <c r="D31">
        <v>150</v>
      </c>
      <c r="E31" s="2">
        <v>0.94959170000000004</v>
      </c>
      <c r="F31">
        <v>125</v>
      </c>
      <c r="G31">
        <v>0</v>
      </c>
      <c r="H31">
        <v>162240</v>
      </c>
      <c r="I31" s="1">
        <f>Table1[[#This Row],[PosPreBound]]/Table1[[#This Row],[NegActBound]]</f>
        <v>0</v>
      </c>
      <c r="J31">
        <v>2033600</v>
      </c>
      <c r="K31">
        <v>5400</v>
      </c>
      <c r="L31">
        <f>Table1[[#This Row],[Total]]-Table1[[#This Row],[PosAct]]</f>
        <v>2028200</v>
      </c>
      <c r="M31">
        <v>0</v>
      </c>
      <c r="N31">
        <f>Table1[[#This Row],[Total]]-Table1[[#This Row],[PosPre]]</f>
        <v>2033600</v>
      </c>
      <c r="O31">
        <v>0</v>
      </c>
      <c r="P31">
        <f>Table1[[#This Row],[PosPre]]-Table1[[#This Row],[TP]]</f>
        <v>0</v>
      </c>
      <c r="Q31">
        <f>Table1[[#This Row],[PosAct]]-Table1[[#This Row],[TP]]</f>
        <v>5400</v>
      </c>
      <c r="R31">
        <f>Table1[[#This Row],[NegAct]]-Table1[[#This Row],[FP]]</f>
        <v>2028200</v>
      </c>
      <c r="S31" t="str">
        <f>IF(SUM(Table1[[#This Row],[TP]:[TN]])=Table1[[#This Row],[Total]],"","ERROR")</f>
        <v/>
      </c>
      <c r="T31" s="1">
        <f>Table1[[#This Row],[FP]]/(Table1[[#This Row],[FP]]+Table1[[#This Row],[TN]])</f>
        <v>0</v>
      </c>
      <c r="U31" s="1">
        <f>1-Table1[[#This Row],[FPR]]</f>
        <v>1</v>
      </c>
      <c r="V31" s="1"/>
      <c r="W31" s="1"/>
      <c r="X31" s="1">
        <f>Table1[[#This Row],[FN]]/(Table1[[#This Row],[FN]]+Table1[[#This Row],[TP]])</f>
        <v>1</v>
      </c>
      <c r="Y31" s="1">
        <f>1-Table1[[#This Row],[FNR]]</f>
        <v>0</v>
      </c>
      <c r="Z31" s="1">
        <f>Table1[[#This Row],[TN]]/(Table1[[#This Row],[TN]]+Table1[[#This Row],[FN]])</f>
        <v>0.99734461054287959</v>
      </c>
      <c r="AA31" s="1">
        <f>1-Table1[[#This Row],[NPV]]</f>
        <v>2.6553894571204051E-3</v>
      </c>
      <c r="AB31" s="1"/>
      <c r="AC31" s="1">
        <f>Table1[[#This Row],[Sensitivity]]/Table1[[#This Row],[Specificity]]</f>
        <v>0</v>
      </c>
      <c r="AD31" s="1">
        <f>(Table1[[#This Row],[Sensitivity]]+Table1[[#This Row],[Specificity]])/2</f>
        <v>0.5</v>
      </c>
      <c r="AE31" s="1">
        <f>(0.95*Table1[[#This Row],[Specificity]]+0.8*Table1[[#This Row],[Sensitivity]])/SUM(0.95,0.8)</f>
        <v>0.54285714285714282</v>
      </c>
      <c r="AF31" s="1">
        <f>AVERAGE((Table1[[#This Row],[Specificity]]-0.95)^2,(Table1[[#This Row],[Sensitivity]]-0.8)^2)</f>
        <v>0.32125000000000009</v>
      </c>
      <c r="AG31" s="1"/>
      <c r="AH31" s="1"/>
      <c r="AI31" s="1">
        <f>Table1[[#This Row],[FNR]]/Table1[[#This Row],[Specificity]]</f>
        <v>1</v>
      </c>
      <c r="AJ31" s="1"/>
      <c r="AK31" s="1">
        <f>SQRT(Table1[[#This Row],[PPV]]*Table1[[#This Row],[Sensitivity]])</f>
        <v>0</v>
      </c>
      <c r="AL31" s="1">
        <f>SQRT(Table1[[#This Row],[Sensitivity]]*Table1[[#This Row],[Specificity]]*Table1[[#This Row],[PPV]]*Table1[[#This Row],[NPV]]) - SQRT(Table1[[#This Row],[FNR]]*Table1[[#This Row],[FPR]]*Table1[[#This Row],[FOR]]*Table1[[#This Row],[FDR]])</f>
        <v>0</v>
      </c>
      <c r="AM31" s="1">
        <f>Table1[[#This Row],[TP]]/(Table1[[#This Row],[TP]]+Table1[[#This Row],[FN]]+Table1[[#This Row],[FP]])</f>
        <v>0</v>
      </c>
      <c r="AN31" s="1">
        <f>Table1[[#This Row],[Specificity]]+Table1[[#This Row],[Sensitivity]]-1</f>
        <v>0</v>
      </c>
      <c r="AO31" s="4"/>
    </row>
    <row r="32" spans="1:41" x14ac:dyDescent="0.3">
      <c r="A32" t="s">
        <v>45</v>
      </c>
      <c r="B32" t="s">
        <v>46</v>
      </c>
      <c r="C32" t="s">
        <v>14</v>
      </c>
      <c r="D32">
        <v>300</v>
      </c>
      <c r="E32" s="2">
        <v>0.54647760000000001</v>
      </c>
      <c r="F32">
        <v>1</v>
      </c>
      <c r="G32">
        <v>44722</v>
      </c>
      <c r="H32">
        <v>820470</v>
      </c>
      <c r="I32" s="1">
        <f>Table1[[#This Row],[PosPreBound]]/Table1[[#This Row],[NegActBound]]</f>
        <v>5.4507782124879639E-2</v>
      </c>
      <c r="J32">
        <v>2033600</v>
      </c>
      <c r="K32">
        <v>5400</v>
      </c>
      <c r="L32">
        <f>Table1[[#This Row],[Total]]-Table1[[#This Row],[PosAct]]</f>
        <v>2028200</v>
      </c>
      <c r="M32">
        <v>100902</v>
      </c>
      <c r="N32">
        <f>Table1[[#This Row],[Total]]-Table1[[#This Row],[PosPre]]</f>
        <v>1932698</v>
      </c>
      <c r="O32">
        <v>4434</v>
      </c>
      <c r="P32">
        <f>Table1[[#This Row],[PosPre]]-Table1[[#This Row],[TP]]</f>
        <v>96468</v>
      </c>
      <c r="Q32">
        <f>Table1[[#This Row],[PosAct]]-Table1[[#This Row],[TP]]</f>
        <v>966</v>
      </c>
      <c r="R32">
        <f>Table1[[#This Row],[NegAct]]-Table1[[#This Row],[FP]]</f>
        <v>1931732</v>
      </c>
      <c r="S32" t="str">
        <f>IF(SUM(Table1[[#This Row],[TP]:[TN]])=Table1[[#This Row],[Total]],"","ERROR")</f>
        <v/>
      </c>
      <c r="T32" s="1">
        <f>Table1[[#This Row],[FP]]/(Table1[[#This Row],[FP]]+Table1[[#This Row],[TN]])</f>
        <v>4.7563356670939749E-2</v>
      </c>
      <c r="U32" s="1">
        <f>1-Table1[[#This Row],[FPR]]</f>
        <v>0.95243664332906031</v>
      </c>
      <c r="V32" s="1">
        <f>Table1[[#This Row],[FP]]/(Table1[[#This Row],[FP]]+Table1[[#This Row],[TP]])</f>
        <v>0.95605637152881018</v>
      </c>
      <c r="W32" s="1">
        <f>1-Table1[[#This Row],[FDR]]</f>
        <v>4.3943628471189822E-2</v>
      </c>
      <c r="X32" s="1">
        <f>Table1[[#This Row],[FN]]/(Table1[[#This Row],[FN]]+Table1[[#This Row],[TP]])</f>
        <v>0.17888888888888888</v>
      </c>
      <c r="Y32" s="1">
        <f>1-Table1[[#This Row],[FNR]]</f>
        <v>0.82111111111111112</v>
      </c>
      <c r="Z32" s="1">
        <f>Table1[[#This Row],[TN]]/(Table1[[#This Row],[TN]]+Table1[[#This Row],[FN]])</f>
        <v>0.99950018057658263</v>
      </c>
      <c r="AA32" s="1">
        <f>1-Table1[[#This Row],[NPV]]</f>
        <v>4.9981942341736918E-4</v>
      </c>
      <c r="AB32" s="1">
        <f>Table1[[#This Row],[FNR]]/Table1[[#This Row],[FPR]]</f>
        <v>3.7610652697728204</v>
      </c>
      <c r="AC32" s="1">
        <f>Table1[[#This Row],[Sensitivity]]/Table1[[#This Row],[Specificity]]</f>
        <v>0.86211625399152447</v>
      </c>
      <c r="AD32" s="1">
        <f>(Table1[[#This Row],[Sensitivity]]+Table1[[#This Row],[Specificity]])/2</f>
        <v>0.88677387722008572</v>
      </c>
      <c r="AE32" s="1">
        <f>(0.95*Table1[[#This Row],[Specificity]]+0.8*Table1[[#This Row],[Sensitivity]])/SUM(0.95,0.8)</f>
        <v>0.89240211431514072</v>
      </c>
      <c r="AF32" s="1">
        <f>AVERAGE((Table1[[#This Row],[Specificity]]-0.95)^2,(Table1[[#This Row],[Sensitivity]]-0.8)^2)</f>
        <v>2.2580812152936603E-4</v>
      </c>
      <c r="AG32" s="1">
        <f>2*(Table1[[#This Row],[PPV]]*Table1[[#This Row],[Sensitivity]])/(Table1[[#This Row],[PPV]]+Table1[[#This Row],[Sensitivity]])</f>
        <v>8.3422701360275353E-2</v>
      </c>
      <c r="AH32" s="1">
        <f>Table1[[#This Row],[Sensitivity]]/Table1[[#This Row],[FPR]]</f>
        <v>17.263523194795741</v>
      </c>
      <c r="AI32" s="1">
        <f>Table1[[#This Row],[FNR]]/Table1[[#This Row],[Specificity]]</f>
        <v>0.18782235032832939</v>
      </c>
      <c r="AJ32" s="1">
        <f>Table1[[#This Row],[LRPlus]]/Table1[[#This Row],[LRMinus]]</f>
        <v>91.914104815628377</v>
      </c>
      <c r="AK32" s="1">
        <f>SQRT(Table1[[#This Row],[PPV]]*Table1[[#This Row],[Sensitivity]])</f>
        <v>0.18995420921957093</v>
      </c>
      <c r="AL32" s="1">
        <f>SQRT(Table1[[#This Row],[Sensitivity]]*Table1[[#This Row],[Specificity]]*Table1[[#This Row],[PPV]]*Table1[[#This Row],[NPV]]) - SQRT(Table1[[#This Row],[FNR]]*Table1[[#This Row],[FPR]]*Table1[[#This Row],[FOR]]*Table1[[#This Row],[FDR]])</f>
        <v>0.18331901410718962</v>
      </c>
      <c r="AM32" s="1">
        <f>Table1[[#This Row],[TP]]/(Table1[[#This Row],[TP]]+Table1[[#This Row],[FN]]+Table1[[#This Row],[FP]])</f>
        <v>4.3526917186947817E-2</v>
      </c>
      <c r="AN32" s="1">
        <f>Table1[[#This Row],[Specificity]]+Table1[[#This Row],[Sensitivity]]-1</f>
        <v>0.77354775444017143</v>
      </c>
      <c r="AO32" s="4">
        <f>Table1[[#This Row],[FPR]]/Table1[[#This Row],[FP]]</f>
        <v>4.9304802287742831E-7</v>
      </c>
    </row>
    <row r="33" spans="1:41" x14ac:dyDescent="0.3">
      <c r="A33" t="s">
        <v>45</v>
      </c>
      <c r="B33" t="s">
        <v>47</v>
      </c>
      <c r="C33" t="s">
        <v>14</v>
      </c>
      <c r="D33">
        <v>300</v>
      </c>
      <c r="E33" s="2">
        <v>0.54647760000000001</v>
      </c>
      <c r="F33">
        <v>8</v>
      </c>
      <c r="G33">
        <v>42804</v>
      </c>
      <c r="H33">
        <v>820470</v>
      </c>
      <c r="I33" s="1">
        <f>Table1[[#This Row],[PosPreBound]]/Table1[[#This Row],[NegActBound]]</f>
        <v>5.2170097626969905E-2</v>
      </c>
      <c r="J33">
        <v>2033600</v>
      </c>
      <c r="K33">
        <v>5400</v>
      </c>
      <c r="L33">
        <f>Table1[[#This Row],[Total]]-Table1[[#This Row],[PosAct]]</f>
        <v>2028200</v>
      </c>
      <c r="M33">
        <v>95337</v>
      </c>
      <c r="N33">
        <f>Table1[[#This Row],[Total]]-Table1[[#This Row],[PosPre]]</f>
        <v>1938263</v>
      </c>
      <c r="O33">
        <v>4422</v>
      </c>
      <c r="P33">
        <f>Table1[[#This Row],[PosPre]]-Table1[[#This Row],[TP]]</f>
        <v>90915</v>
      </c>
      <c r="Q33">
        <f>Table1[[#This Row],[PosAct]]-Table1[[#This Row],[TP]]</f>
        <v>978</v>
      </c>
      <c r="R33">
        <f>Table1[[#This Row],[NegAct]]-Table1[[#This Row],[FP]]</f>
        <v>1937285</v>
      </c>
      <c r="S33" t="str">
        <f>IF(SUM(Table1[[#This Row],[TP]:[TN]])=Table1[[#This Row],[Total]],"","ERROR")</f>
        <v/>
      </c>
      <c r="T33" s="1">
        <f>Table1[[#This Row],[FP]]/(Table1[[#This Row],[FP]]+Table1[[#This Row],[TN]])</f>
        <v>4.4825460999901388E-2</v>
      </c>
      <c r="U33" s="1">
        <f>1-Table1[[#This Row],[FPR]]</f>
        <v>0.95517453900009863</v>
      </c>
      <c r="V33" s="1">
        <f>Table1[[#This Row],[FP]]/(Table1[[#This Row],[FP]]+Table1[[#This Row],[TP]])</f>
        <v>0.95361716857043954</v>
      </c>
      <c r="W33" s="1">
        <f>1-Table1[[#This Row],[FDR]]</f>
        <v>4.6382831429560456E-2</v>
      </c>
      <c r="X33" s="1">
        <f>Table1[[#This Row],[FN]]/(Table1[[#This Row],[FN]]+Table1[[#This Row],[TP]])</f>
        <v>0.18111111111111111</v>
      </c>
      <c r="Y33" s="1">
        <f>1-Table1[[#This Row],[FNR]]</f>
        <v>0.81888888888888889</v>
      </c>
      <c r="Z33" s="1">
        <f>Table1[[#This Row],[TN]]/(Table1[[#This Row],[TN]]+Table1[[#This Row],[FN]])</f>
        <v>0.99949542451153428</v>
      </c>
      <c r="AA33" s="1">
        <f>1-Table1[[#This Row],[NPV]]</f>
        <v>5.0457548846571942E-4</v>
      </c>
      <c r="AB33" s="1">
        <f>Table1[[#This Row],[FNR]]/Table1[[#This Row],[FPR]]</f>
        <v>4.0403624875494204</v>
      </c>
      <c r="AC33" s="1">
        <f>Table1[[#This Row],[Sensitivity]]/Table1[[#This Row],[Specificity]]</f>
        <v>0.85731858990517373</v>
      </c>
      <c r="AD33" s="1">
        <f>(Table1[[#This Row],[Sensitivity]]+Table1[[#This Row],[Specificity]])/2</f>
        <v>0.88703171394449376</v>
      </c>
      <c r="AE33" s="1">
        <f>(0.95*Table1[[#This Row],[Specificity]]+0.8*Table1[[#This Row],[Sensitivity]])/SUM(0.95,0.8)</f>
        <v>0.89287252752068846</v>
      </c>
      <c r="AF33" s="1">
        <f>AVERAGE((Table1[[#This Row],[Specificity]]-0.95)^2,(Table1[[#This Row],[Sensitivity]]-0.8)^2)</f>
        <v>1.9178298866016531E-4</v>
      </c>
      <c r="AG33" s="1">
        <f>2*(Table1[[#This Row],[PPV]]*Table1[[#This Row],[Sensitivity]])/(Table1[[#This Row],[PPV]]+Table1[[#This Row],[Sensitivity]])</f>
        <v>8.7792965841746423E-2</v>
      </c>
      <c r="AH33" s="1">
        <f>Table1[[#This Row],[Sensitivity]]/Table1[[#This Row],[FPR]]</f>
        <v>18.268387443705048</v>
      </c>
      <c r="AI33" s="1">
        <f>Table1[[#This Row],[FNR]]/Table1[[#This Row],[Specificity]]</f>
        <v>0.18961048867644953</v>
      </c>
      <c r="AJ33" s="1">
        <f>Table1[[#This Row],[LRPlus]]/Table1[[#This Row],[LRMinus]]</f>
        <v>96.346924535794756</v>
      </c>
      <c r="AK33" s="1">
        <f>SQRT(Table1[[#This Row],[PPV]]*Table1[[#This Row],[Sensitivity]])</f>
        <v>0.19489070088866065</v>
      </c>
      <c r="AL33" s="1">
        <f>SQRT(Table1[[#This Row],[Sensitivity]]*Table1[[#This Row],[Specificity]]*Table1[[#This Row],[PPV]]*Table1[[#This Row],[NPV]]) - SQRT(Table1[[#This Row],[FNR]]*Table1[[#This Row],[FPR]]*Table1[[#This Row],[FOR]]*Table1[[#This Row],[FDR]])</f>
        <v>0.18844808319357376</v>
      </c>
      <c r="AM33" s="1">
        <f>Table1[[#This Row],[TP]]/(Table1[[#This Row],[TP]]+Table1[[#This Row],[FN]]+Table1[[#This Row],[FP]])</f>
        <v>4.5911851736489644E-2</v>
      </c>
      <c r="AN33" s="1">
        <f>Table1[[#This Row],[Specificity]]+Table1[[#This Row],[Sensitivity]]-1</f>
        <v>0.77406342788898752</v>
      </c>
      <c r="AO33" s="4">
        <f>Table1[[#This Row],[FPR]]/Table1[[#This Row],[FP]]</f>
        <v>4.930480228774282E-7</v>
      </c>
    </row>
    <row r="34" spans="1:41" x14ac:dyDescent="0.3">
      <c r="A34" t="s">
        <v>45</v>
      </c>
      <c r="B34" t="s">
        <v>49</v>
      </c>
      <c r="C34" t="s">
        <v>14</v>
      </c>
      <c r="D34">
        <v>300</v>
      </c>
      <c r="E34" s="2">
        <v>0.54647760000000001</v>
      </c>
      <c r="F34">
        <v>27</v>
      </c>
      <c r="G34">
        <v>36855</v>
      </c>
      <c r="H34">
        <v>820470</v>
      </c>
      <c r="I34" s="1">
        <f>Table1[[#This Row],[PosPreBound]]/Table1[[#This Row],[NegActBound]]</f>
        <v>4.4919375479907861E-2</v>
      </c>
      <c r="J34">
        <v>2033600</v>
      </c>
      <c r="K34">
        <v>5400</v>
      </c>
      <c r="L34">
        <f>Table1[[#This Row],[Total]]-Table1[[#This Row],[PosAct]]</f>
        <v>2028200</v>
      </c>
      <c r="M34">
        <v>79237</v>
      </c>
      <c r="N34">
        <f>Table1[[#This Row],[Total]]-Table1[[#This Row],[PosPre]]</f>
        <v>1954363</v>
      </c>
      <c r="O34">
        <v>4390</v>
      </c>
      <c r="P34">
        <f>Table1[[#This Row],[PosPre]]-Table1[[#This Row],[TP]]</f>
        <v>74847</v>
      </c>
      <c r="Q34">
        <f>Table1[[#This Row],[PosAct]]-Table1[[#This Row],[TP]]</f>
        <v>1010</v>
      </c>
      <c r="R34">
        <f>Table1[[#This Row],[NegAct]]-Table1[[#This Row],[FP]]</f>
        <v>1953353</v>
      </c>
      <c r="S34" t="str">
        <f>IF(SUM(Table1[[#This Row],[TP]:[TN]])=Table1[[#This Row],[Total]],"","ERROR")</f>
        <v/>
      </c>
      <c r="T34" s="1">
        <f>Table1[[#This Row],[FP]]/(Table1[[#This Row],[FP]]+Table1[[#This Row],[TN]])</f>
        <v>3.6903165368306873E-2</v>
      </c>
      <c r="U34" s="1">
        <f>1-Table1[[#This Row],[FPR]]</f>
        <v>0.96309683463169315</v>
      </c>
      <c r="V34" s="1">
        <f>Table1[[#This Row],[FP]]/(Table1[[#This Row],[FP]]+Table1[[#This Row],[TP]])</f>
        <v>0.94459658997690477</v>
      </c>
      <c r="W34" s="1">
        <f>1-Table1[[#This Row],[FDR]]</f>
        <v>5.5403410023095234E-2</v>
      </c>
      <c r="X34" s="1">
        <f>Table1[[#This Row],[FN]]/(Table1[[#This Row],[FN]]+Table1[[#This Row],[TP]])</f>
        <v>0.18703703703703703</v>
      </c>
      <c r="Y34" s="1">
        <f>1-Table1[[#This Row],[FNR]]</f>
        <v>0.812962962962963</v>
      </c>
      <c r="Z34" s="1">
        <f>Table1[[#This Row],[TN]]/(Table1[[#This Row],[TN]]+Table1[[#This Row],[FN]])</f>
        <v>0.99948320757198128</v>
      </c>
      <c r="AA34" s="1">
        <f>1-Table1[[#This Row],[NPV]]</f>
        <v>5.1679242801871972E-4</v>
      </c>
      <c r="AB34" s="1">
        <f>Table1[[#This Row],[FNR]]/Table1[[#This Row],[FPR]]</f>
        <v>5.0683196189362096</v>
      </c>
      <c r="AC34" s="1">
        <f>Table1[[#This Row],[Sensitivity]]/Table1[[#This Row],[Specificity]]</f>
        <v>0.84411342009431045</v>
      </c>
      <c r="AD34" s="1">
        <f>(Table1[[#This Row],[Sensitivity]]+Table1[[#This Row],[Specificity]])/2</f>
        <v>0.88802989879732808</v>
      </c>
      <c r="AE34" s="1">
        <f>(0.95*Table1[[#This Row],[Specificity]]+0.8*Table1[[#This Row],[Sensitivity]])/SUM(0.95,0.8)</f>
        <v>0.89446420758313094</v>
      </c>
      <c r="AF34" s="1">
        <f>AVERAGE((Table1[[#This Row],[Specificity]]-0.95)^2,(Table1[[#This Row],[Sensitivity]]-0.8)^2)</f>
        <v>1.6978274307453381E-4</v>
      </c>
      <c r="AG34" s="1">
        <f>2*(Table1[[#This Row],[PPV]]*Table1[[#This Row],[Sensitivity]])/(Table1[[#This Row],[PPV]]+Table1[[#This Row],[Sensitivity]])</f>
        <v>0.10373713624065119</v>
      </c>
      <c r="AH34" s="1">
        <f>Table1[[#This Row],[Sensitivity]]/Table1[[#This Row],[FPR]]</f>
        <v>22.029626858544518</v>
      </c>
      <c r="AI34" s="1">
        <f>Table1[[#This Row],[FNR]]/Table1[[#This Row],[Specificity]]</f>
        <v>0.19420377091008051</v>
      </c>
      <c r="AJ34" s="1">
        <f>Table1[[#This Row],[LRPlus]]/Table1[[#This Row],[LRMinus]]</f>
        <v>113.43562874865387</v>
      </c>
      <c r="AK34" s="1">
        <f>SQRT(Table1[[#This Row],[PPV]]*Table1[[#This Row],[Sensitivity]])</f>
        <v>0.21222846267790618</v>
      </c>
      <c r="AL34" s="1">
        <f>SQRT(Table1[[#This Row],[Sensitivity]]*Table1[[#This Row],[Specificity]]*Table1[[#This Row],[PPV]]*Table1[[#This Row],[NPV]]) - SQRT(Table1[[#This Row],[FNR]]*Table1[[#This Row],[FPR]]*Table1[[#This Row],[FOR]]*Table1[[#This Row],[FDR]])</f>
        <v>0.20638628186362187</v>
      </c>
      <c r="AM34" s="1">
        <f>Table1[[#This Row],[TP]]/(Table1[[#This Row],[TP]]+Table1[[#This Row],[FN]]+Table1[[#This Row],[FP]])</f>
        <v>5.4706094931897764E-2</v>
      </c>
      <c r="AN34" s="1">
        <f>Table1[[#This Row],[Specificity]]+Table1[[#This Row],[Sensitivity]]-1</f>
        <v>0.77605979759465615</v>
      </c>
      <c r="AO34" s="4">
        <f>Table1[[#This Row],[FPR]]/Table1[[#This Row],[FP]]</f>
        <v>4.930480228774282E-7</v>
      </c>
    </row>
    <row r="35" spans="1:41" x14ac:dyDescent="0.3">
      <c r="A35" t="s">
        <v>45</v>
      </c>
      <c r="B35" t="s">
        <v>50</v>
      </c>
      <c r="C35" t="s">
        <v>14</v>
      </c>
      <c r="D35">
        <v>300</v>
      </c>
      <c r="E35" s="2">
        <v>0.54647760000000001</v>
      </c>
      <c r="F35">
        <v>64</v>
      </c>
      <c r="G35">
        <v>29498</v>
      </c>
      <c r="H35">
        <v>820470</v>
      </c>
      <c r="I35" s="1">
        <f>Table1[[#This Row],[PosPreBound]]/Table1[[#This Row],[NegActBound]]</f>
        <v>3.5952563774421978E-2</v>
      </c>
      <c r="J35">
        <v>2033600</v>
      </c>
      <c r="K35">
        <v>5400</v>
      </c>
      <c r="L35">
        <f>Table1[[#This Row],[Total]]-Table1[[#This Row],[PosAct]]</f>
        <v>2028200</v>
      </c>
      <c r="M35">
        <v>58066</v>
      </c>
      <c r="N35">
        <f>Table1[[#This Row],[Total]]-Table1[[#This Row],[PosPre]]</f>
        <v>1975534</v>
      </c>
      <c r="O35">
        <v>4324</v>
      </c>
      <c r="P35">
        <f>Table1[[#This Row],[PosPre]]-Table1[[#This Row],[TP]]</f>
        <v>53742</v>
      </c>
      <c r="Q35">
        <f>Table1[[#This Row],[PosAct]]-Table1[[#This Row],[TP]]</f>
        <v>1076</v>
      </c>
      <c r="R35">
        <f>Table1[[#This Row],[NegAct]]-Table1[[#This Row],[FP]]</f>
        <v>1974458</v>
      </c>
      <c r="S35" t="str">
        <f>IF(SUM(Table1[[#This Row],[TP]:[TN]])=Table1[[#This Row],[Total]],"","ERROR")</f>
        <v/>
      </c>
      <c r="T35" s="1">
        <f>Table1[[#This Row],[FP]]/(Table1[[#This Row],[FP]]+Table1[[#This Row],[TN]])</f>
        <v>2.6497386845478751E-2</v>
      </c>
      <c r="U35" s="1">
        <f>1-Table1[[#This Row],[FPR]]</f>
        <v>0.97350261315452125</v>
      </c>
      <c r="V35" s="1">
        <f>Table1[[#This Row],[FP]]/(Table1[[#This Row],[FP]]+Table1[[#This Row],[TP]])</f>
        <v>0.92553301415630485</v>
      </c>
      <c r="W35" s="1">
        <f>1-Table1[[#This Row],[FDR]]</f>
        <v>7.4466985843695155E-2</v>
      </c>
      <c r="X35" s="1">
        <f>Table1[[#This Row],[FN]]/(Table1[[#This Row],[FN]]+Table1[[#This Row],[TP]])</f>
        <v>0.19925925925925925</v>
      </c>
      <c r="Y35" s="1">
        <f>1-Table1[[#This Row],[FNR]]</f>
        <v>0.80074074074074075</v>
      </c>
      <c r="Z35" s="1">
        <f>Table1[[#This Row],[TN]]/(Table1[[#This Row],[TN]]+Table1[[#This Row],[FN]])</f>
        <v>0.99945533713922408</v>
      </c>
      <c r="AA35" s="1">
        <f>1-Table1[[#This Row],[NPV]]</f>
        <v>5.4466286077592407E-4</v>
      </c>
      <c r="AB35" s="1">
        <f>Table1[[#This Row],[FNR]]/Table1[[#This Row],[FPR]]</f>
        <v>7.5199588707087486</v>
      </c>
      <c r="AC35" s="1">
        <f>Table1[[#This Row],[Sensitivity]]/Table1[[#This Row],[Specificity]]</f>
        <v>0.82253578975616115</v>
      </c>
      <c r="AD35" s="1">
        <f>(Table1[[#This Row],[Sensitivity]]+Table1[[#This Row],[Specificity]])/2</f>
        <v>0.887121676947631</v>
      </c>
      <c r="AE35" s="1">
        <f>(0.95*Table1[[#This Row],[Specificity]]+0.8*Table1[[#This Row],[Sensitivity]])/SUM(0.95,0.8)</f>
        <v>0.89452575719393579</v>
      </c>
      <c r="AF35" s="1">
        <f>AVERAGE((Table1[[#This Row],[Specificity]]-0.95)^2,(Table1[[#This Row],[Sensitivity]]-0.8)^2)</f>
        <v>2.7646076096803513E-4</v>
      </c>
      <c r="AG35" s="1">
        <f>2*(Table1[[#This Row],[PPV]]*Table1[[#This Row],[Sensitivity]])/(Table1[[#This Row],[PPV]]+Table1[[#This Row],[Sensitivity]])</f>
        <v>0.13626193552453289</v>
      </c>
      <c r="AH35" s="1">
        <f>Table1[[#This Row],[Sensitivity]]/Table1[[#This Row],[FPR]]</f>
        <v>30.219611670022893</v>
      </c>
      <c r="AI35" s="1">
        <f>Table1[[#This Row],[FNR]]/Table1[[#This Row],[Specificity]]</f>
        <v>0.2046828190975091</v>
      </c>
      <c r="AJ35" s="1">
        <f>Table1[[#This Row],[LRPlus]]/Table1[[#This Row],[LRMinus]]</f>
        <v>147.64117380866509</v>
      </c>
      <c r="AK35" s="1">
        <f>SQRT(Table1[[#This Row],[PPV]]*Table1[[#This Row],[Sensitivity]])</f>
        <v>0.24418998629184349</v>
      </c>
      <c r="AL35" s="1">
        <f>SQRT(Table1[[#This Row],[Sensitivity]]*Table1[[#This Row],[Specificity]]*Table1[[#This Row],[PPV]]*Table1[[#This Row],[NPV]]) - SQRT(Table1[[#This Row],[FNR]]*Table1[[#This Row],[FPR]]*Table1[[#This Row],[FOR]]*Table1[[#This Row],[FDR]])</f>
        <v>0.23923600747802201</v>
      </c>
      <c r="AM35" s="1">
        <f>Table1[[#This Row],[TP]]/(Table1[[#This Row],[TP]]+Table1[[#This Row],[FN]]+Table1[[#This Row],[FP]])</f>
        <v>7.3112170707788041E-2</v>
      </c>
      <c r="AN35" s="1">
        <f>Table1[[#This Row],[Specificity]]+Table1[[#This Row],[Sensitivity]]-1</f>
        <v>0.774243353895262</v>
      </c>
      <c r="AO35" s="4">
        <f>Table1[[#This Row],[FPR]]/Table1[[#This Row],[FP]]</f>
        <v>4.9304802287742831E-7</v>
      </c>
    </row>
    <row r="36" spans="1:41" x14ac:dyDescent="0.3">
      <c r="A36" t="s">
        <v>45</v>
      </c>
      <c r="B36" t="s">
        <v>48</v>
      </c>
      <c r="C36" t="s">
        <v>14</v>
      </c>
      <c r="D36">
        <v>300</v>
      </c>
      <c r="E36" s="2">
        <v>0.54647760000000001</v>
      </c>
      <c r="F36">
        <v>125</v>
      </c>
      <c r="G36">
        <v>22013</v>
      </c>
      <c r="H36">
        <v>820470</v>
      </c>
      <c r="I36" s="1">
        <f>Table1[[#This Row],[PosPreBound]]/Table1[[#This Row],[NegActBound]]</f>
        <v>2.6829743927261205E-2</v>
      </c>
      <c r="J36">
        <v>2033600</v>
      </c>
      <c r="K36">
        <v>5400</v>
      </c>
      <c r="L36">
        <f>Table1[[#This Row],[Total]]-Table1[[#This Row],[PosAct]]</f>
        <v>2028200</v>
      </c>
      <c r="M36">
        <v>39829</v>
      </c>
      <c r="N36">
        <f>Table1[[#This Row],[Total]]-Table1[[#This Row],[PosPre]]</f>
        <v>1993771</v>
      </c>
      <c r="O36">
        <v>4111</v>
      </c>
      <c r="P36">
        <f>Table1[[#This Row],[PosPre]]-Table1[[#This Row],[TP]]</f>
        <v>35718</v>
      </c>
      <c r="Q36">
        <f>Table1[[#This Row],[PosAct]]-Table1[[#This Row],[TP]]</f>
        <v>1289</v>
      </c>
      <c r="R36">
        <f>Table1[[#This Row],[NegAct]]-Table1[[#This Row],[FP]]</f>
        <v>1992482</v>
      </c>
      <c r="S36" t="str">
        <f>IF(SUM(Table1[[#This Row],[TP]:[TN]])=Table1[[#This Row],[Total]],"","ERROR")</f>
        <v/>
      </c>
      <c r="T36" s="1">
        <f>Table1[[#This Row],[FP]]/(Table1[[#This Row],[FP]]+Table1[[#This Row],[TN]])</f>
        <v>1.7610689281135981E-2</v>
      </c>
      <c r="U36" s="1">
        <f>1-Table1[[#This Row],[FPR]]</f>
        <v>0.98238931071886404</v>
      </c>
      <c r="V36" s="1">
        <f>Table1[[#This Row],[FP]]/(Table1[[#This Row],[FP]]+Table1[[#This Row],[TP]])</f>
        <v>0.89678375053353088</v>
      </c>
      <c r="W36" s="1">
        <f>1-Table1[[#This Row],[FDR]]</f>
        <v>0.10321624946646912</v>
      </c>
      <c r="X36" s="1">
        <f>Table1[[#This Row],[FN]]/(Table1[[#This Row],[FN]]+Table1[[#This Row],[TP]])</f>
        <v>0.2387037037037037</v>
      </c>
      <c r="Y36" s="1">
        <f>1-Table1[[#This Row],[FNR]]</f>
        <v>0.76129629629629636</v>
      </c>
      <c r="Z36" s="1">
        <f>Table1[[#This Row],[TN]]/(Table1[[#This Row],[TN]]+Table1[[#This Row],[FN]])</f>
        <v>0.99935348643349708</v>
      </c>
      <c r="AA36" s="1">
        <f>1-Table1[[#This Row],[NPV]]</f>
        <v>6.4651356650291536E-4</v>
      </c>
      <c r="AB36" s="1">
        <f>Table1[[#This Row],[FNR]]/Table1[[#This Row],[FPR]]</f>
        <v>13.554478186120496</v>
      </c>
      <c r="AC36" s="1">
        <f>Table1[[#This Row],[Sensitivity]]/Table1[[#This Row],[Specificity]]</f>
        <v>0.77494358701767352</v>
      </c>
      <c r="AD36" s="1">
        <f>(Table1[[#This Row],[Sensitivity]]+Table1[[#This Row],[Specificity]])/2</f>
        <v>0.87184280350758026</v>
      </c>
      <c r="AE36" s="1">
        <f>(0.95*Table1[[#This Row],[Specificity]]+0.8*Table1[[#This Row],[Sensitivity]])/SUM(0.95,0.8)</f>
        <v>0.88131821841140456</v>
      </c>
      <c r="AF36" s="1">
        <f>AVERAGE((Table1[[#This Row],[Specificity]]-0.95)^2,(Table1[[#This Row],[Sensitivity]]-0.8)^2)</f>
        <v>1.2735220646136051E-3</v>
      </c>
      <c r="AG36" s="1">
        <f>2*(Table1[[#This Row],[PPV]]*Table1[[#This Row],[Sensitivity]])/(Table1[[#This Row],[PPV]]+Table1[[#This Row],[Sensitivity]])</f>
        <v>0.18178602224236656</v>
      </c>
      <c r="AH36" s="1">
        <f>Table1[[#This Row],[Sensitivity]]/Table1[[#This Row],[FPR]]</f>
        <v>43.229216309651953</v>
      </c>
      <c r="AI36" s="1">
        <f>Table1[[#This Row],[FNR]]/Table1[[#This Row],[Specificity]]</f>
        <v>0.24298279826460256</v>
      </c>
      <c r="AJ36" s="1">
        <f>Table1[[#This Row],[LRPlus]]/Table1[[#This Row],[LRMinus]]</f>
        <v>177.91060362460865</v>
      </c>
      <c r="AK36" s="1">
        <f>SQRT(Table1[[#This Row],[PPV]]*Table1[[#This Row],[Sensitivity]])</f>
        <v>0.28031794169552815</v>
      </c>
      <c r="AL36" s="1">
        <f>SQRT(Table1[[#This Row],[Sensitivity]]*Table1[[#This Row],[Specificity]]*Table1[[#This Row],[PPV]]*Table1[[#This Row],[NPV]]) - SQRT(Table1[[#This Row],[FNR]]*Table1[[#This Row],[FPR]]*Table1[[#This Row],[FOR]]*Table1[[#This Row],[FDR]])</f>
        <v>0.27618768311449199</v>
      </c>
      <c r="AM36" s="1">
        <f>Table1[[#This Row],[TP]]/(Table1[[#This Row],[TP]]+Table1[[#This Row],[FN]]+Table1[[#This Row],[FP]])</f>
        <v>9.9980543800768526E-2</v>
      </c>
      <c r="AN36" s="1">
        <f>Table1[[#This Row],[Specificity]]+Table1[[#This Row],[Sensitivity]]-1</f>
        <v>0.74368560701516051</v>
      </c>
      <c r="AO36" s="4">
        <f>Table1[[#This Row],[FPR]]/Table1[[#This Row],[FP]]</f>
        <v>4.930480228774282E-7</v>
      </c>
    </row>
    <row r="37" spans="1:41" x14ac:dyDescent="0.3">
      <c r="A37" t="s">
        <v>45</v>
      </c>
      <c r="B37" t="s">
        <v>51</v>
      </c>
      <c r="C37" t="s">
        <v>14</v>
      </c>
      <c r="D37">
        <v>300</v>
      </c>
      <c r="E37" s="2">
        <v>0.8061161</v>
      </c>
      <c r="F37">
        <v>1</v>
      </c>
      <c r="G37">
        <v>10118</v>
      </c>
      <c r="H37">
        <v>820470</v>
      </c>
      <c r="I37" s="1">
        <f>Table1[[#This Row],[PosPreBound]]/Table1[[#This Row],[NegActBound]]</f>
        <v>1.2331956073957609E-2</v>
      </c>
      <c r="J37">
        <v>2033600</v>
      </c>
      <c r="K37">
        <v>5400</v>
      </c>
      <c r="L37">
        <f>Table1[[#This Row],[Total]]-Table1[[#This Row],[PosAct]]</f>
        <v>2028200</v>
      </c>
      <c r="M37">
        <v>22633</v>
      </c>
      <c r="N37">
        <f>Table1[[#This Row],[Total]]-Table1[[#This Row],[PosPre]]</f>
        <v>2010967</v>
      </c>
      <c r="O37">
        <v>2209</v>
      </c>
      <c r="P37">
        <f>Table1[[#This Row],[PosPre]]-Table1[[#This Row],[TP]]</f>
        <v>20424</v>
      </c>
      <c r="Q37">
        <f>Table1[[#This Row],[PosAct]]-Table1[[#This Row],[TP]]</f>
        <v>3191</v>
      </c>
      <c r="R37">
        <f>Table1[[#This Row],[NegAct]]-Table1[[#This Row],[FP]]</f>
        <v>2007776</v>
      </c>
      <c r="S37" t="str">
        <f>IF(SUM(Table1[[#This Row],[TP]:[TN]])=Table1[[#This Row],[Total]],"","ERROR")</f>
        <v/>
      </c>
      <c r="T37" s="1">
        <f>Table1[[#This Row],[FP]]/(Table1[[#This Row],[FP]]+Table1[[#This Row],[TN]])</f>
        <v>1.0070012819248594E-2</v>
      </c>
      <c r="U37" s="1">
        <f>1-Table1[[#This Row],[FPR]]</f>
        <v>0.98992998718075143</v>
      </c>
      <c r="V37" s="1">
        <f>Table1[[#This Row],[FP]]/(Table1[[#This Row],[FP]]+Table1[[#This Row],[TP]])</f>
        <v>0.90239915168117346</v>
      </c>
      <c r="W37" s="1">
        <f>1-Table1[[#This Row],[FDR]]</f>
        <v>9.7600848318826539E-2</v>
      </c>
      <c r="X37" s="1">
        <f>Table1[[#This Row],[FN]]/(Table1[[#This Row],[FN]]+Table1[[#This Row],[TP]])</f>
        <v>0.59092592592592597</v>
      </c>
      <c r="Y37" s="1">
        <f>1-Table1[[#This Row],[FNR]]</f>
        <v>0.40907407407407403</v>
      </c>
      <c r="Z37" s="1">
        <f>Table1[[#This Row],[TN]]/(Table1[[#This Row],[TN]]+Table1[[#This Row],[FN]])</f>
        <v>0.99841320121115862</v>
      </c>
      <c r="AA37" s="1">
        <f>1-Table1[[#This Row],[NPV]]</f>
        <v>1.5867987888413815E-3</v>
      </c>
      <c r="AB37" s="1">
        <f>Table1[[#This Row],[FNR]]/Table1[[#This Row],[FPR]]</f>
        <v>58.681745150948061</v>
      </c>
      <c r="AC37" s="1">
        <f>Table1[[#This Row],[Sensitivity]]/Table1[[#This Row],[Specificity]]</f>
        <v>0.41323535944101181</v>
      </c>
      <c r="AD37" s="1">
        <f>(Table1[[#This Row],[Sensitivity]]+Table1[[#This Row],[Specificity]])/2</f>
        <v>0.69950203062741267</v>
      </c>
      <c r="AE37" s="1">
        <f>(0.95*Table1[[#This Row],[Specificity]]+0.8*Table1[[#This Row],[Sensitivity]])/SUM(0.95,0.8)</f>
        <v>0.72439585547484164</v>
      </c>
      <c r="AF37" s="1">
        <f>AVERAGE((Table1[[#This Row],[Specificity]]-0.95)^2,(Table1[[#This Row],[Sensitivity]]-0.8)^2)</f>
        <v>7.7208741718648791E-2</v>
      </c>
      <c r="AG37" s="1">
        <f>2*(Table1[[#This Row],[PPV]]*Table1[[#This Row],[Sensitivity]])/(Table1[[#This Row],[PPV]]+Table1[[#This Row],[Sensitivity]])</f>
        <v>0.15759997146220531</v>
      </c>
      <c r="AH37" s="1">
        <f>Table1[[#This Row],[Sensitivity]]/Table1[[#This Row],[FPR]]</f>
        <v>40.622994371182777</v>
      </c>
      <c r="AI37" s="1">
        <f>Table1[[#This Row],[FNR]]/Table1[[#This Row],[Specificity]]</f>
        <v>0.59693709007526885</v>
      </c>
      <c r="AJ37" s="1">
        <f>Table1[[#This Row],[LRPlus]]/Table1[[#This Row],[LRMinus]]</f>
        <v>68.052387842177055</v>
      </c>
      <c r="AK37" s="1">
        <f>SQRT(Table1[[#This Row],[PPV]]*Table1[[#This Row],[Sensitivity]])</f>
        <v>0.19981485594136417</v>
      </c>
      <c r="AL37" s="1">
        <f>SQRT(Table1[[#This Row],[Sensitivity]]*Table1[[#This Row],[Specificity]]*Table1[[#This Row],[PPV]]*Table1[[#This Row],[NPV]]) - SQRT(Table1[[#This Row],[FNR]]*Table1[[#This Row],[FPR]]*Table1[[#This Row],[FOR]]*Table1[[#This Row],[FDR]])</f>
        <v>0.19572939406227682</v>
      </c>
      <c r="AM37" s="1">
        <f>Table1[[#This Row],[TP]]/(Table1[[#This Row],[TP]]+Table1[[#This Row],[FN]]+Table1[[#This Row],[FP]])</f>
        <v>8.554058240396531E-2</v>
      </c>
      <c r="AN37" s="1">
        <f>Table1[[#This Row],[Specificity]]+Table1[[#This Row],[Sensitivity]]-1</f>
        <v>0.39900406125482535</v>
      </c>
      <c r="AO37" s="4">
        <f>Table1[[#This Row],[FPR]]/Table1[[#This Row],[FP]]</f>
        <v>4.930480228774282E-7</v>
      </c>
    </row>
    <row r="38" spans="1:41" x14ac:dyDescent="0.3">
      <c r="A38" t="s">
        <v>45</v>
      </c>
      <c r="B38" t="s">
        <v>52</v>
      </c>
      <c r="C38" t="s">
        <v>14</v>
      </c>
      <c r="D38">
        <v>300</v>
      </c>
      <c r="E38" s="2">
        <v>0.8061161</v>
      </c>
      <c r="F38">
        <v>8</v>
      </c>
      <c r="G38">
        <v>8158</v>
      </c>
      <c r="H38">
        <v>820470</v>
      </c>
      <c r="I38" s="1">
        <f>Table1[[#This Row],[PosPreBound]]/Table1[[#This Row],[NegActBound]]</f>
        <v>9.943081404560801E-3</v>
      </c>
      <c r="J38">
        <v>2033600</v>
      </c>
      <c r="K38">
        <v>5400</v>
      </c>
      <c r="L38">
        <f>Table1[[#This Row],[Total]]-Table1[[#This Row],[PosAct]]</f>
        <v>2028200</v>
      </c>
      <c r="M38">
        <v>17842</v>
      </c>
      <c r="N38">
        <f>Table1[[#This Row],[Total]]-Table1[[#This Row],[PosPre]]</f>
        <v>2015758</v>
      </c>
      <c r="O38">
        <v>2196</v>
      </c>
      <c r="P38">
        <f>Table1[[#This Row],[PosPre]]-Table1[[#This Row],[TP]]</f>
        <v>15646</v>
      </c>
      <c r="Q38">
        <f>Table1[[#This Row],[PosAct]]-Table1[[#This Row],[TP]]</f>
        <v>3204</v>
      </c>
      <c r="R38">
        <f>Table1[[#This Row],[NegAct]]-Table1[[#This Row],[FP]]</f>
        <v>2012554</v>
      </c>
      <c r="S38" t="str">
        <f>IF(SUM(Table1[[#This Row],[TP]:[TN]])=Table1[[#This Row],[Total]],"","ERROR")</f>
        <v/>
      </c>
      <c r="T38" s="1">
        <f>Table1[[#This Row],[FP]]/(Table1[[#This Row],[FP]]+Table1[[#This Row],[TN]])</f>
        <v>7.7142293659402429E-3</v>
      </c>
      <c r="U38" s="1">
        <f>1-Table1[[#This Row],[FPR]]</f>
        <v>0.99228577063405976</v>
      </c>
      <c r="V38" s="1">
        <f>Table1[[#This Row],[FP]]/(Table1[[#This Row],[FP]]+Table1[[#This Row],[TP]])</f>
        <v>0.87691962784441202</v>
      </c>
      <c r="W38" s="1">
        <f>1-Table1[[#This Row],[FDR]]</f>
        <v>0.12308037215558798</v>
      </c>
      <c r="X38" s="1">
        <f>Table1[[#This Row],[FN]]/(Table1[[#This Row],[FN]]+Table1[[#This Row],[TP]])</f>
        <v>0.59333333333333338</v>
      </c>
      <c r="Y38" s="1">
        <f>1-Table1[[#This Row],[FNR]]</f>
        <v>0.40666666666666662</v>
      </c>
      <c r="Z38" s="1">
        <f>Table1[[#This Row],[TN]]/(Table1[[#This Row],[TN]]+Table1[[#This Row],[FN]])</f>
        <v>0.99841052348545811</v>
      </c>
      <c r="AA38" s="1">
        <f>1-Table1[[#This Row],[NPV]]</f>
        <v>1.5894765145418877E-3</v>
      </c>
      <c r="AB38" s="1">
        <f>Table1[[#This Row],[FNR]]/Table1[[#This Row],[FPR]]</f>
        <v>76.914142059738381</v>
      </c>
      <c r="AC38" s="1">
        <f>Table1[[#This Row],[Sensitivity]]/Table1[[#This Row],[Specificity]]</f>
        <v>0.40982817521086801</v>
      </c>
      <c r="AD38" s="1">
        <f>(Table1[[#This Row],[Sensitivity]]+Table1[[#This Row],[Specificity]])/2</f>
        <v>0.69947621865036314</v>
      </c>
      <c r="AE38" s="1">
        <f>(0.95*Table1[[#This Row],[Specificity]]+0.8*Table1[[#This Row],[Sensitivity]])/SUM(0.95,0.8)</f>
        <v>0.72457418024896569</v>
      </c>
      <c r="AF38" s="1">
        <f>AVERAGE((Table1[[#This Row],[Specificity]]-0.95)^2,(Table1[[#This Row],[Sensitivity]]-0.8)^2)</f>
        <v>7.824959875461375E-2</v>
      </c>
      <c r="AG38" s="1">
        <f>2*(Table1[[#This Row],[PPV]]*Table1[[#This Row],[Sensitivity]])/(Table1[[#This Row],[PPV]]+Table1[[#This Row],[Sensitivity]])</f>
        <v>0.18896824713880048</v>
      </c>
      <c r="AH38" s="1">
        <f>Table1[[#This Row],[Sensitivity]]/Table1[[#This Row],[FPR]]</f>
        <v>52.716434445438658</v>
      </c>
      <c r="AI38" s="1">
        <f>Table1[[#This Row],[FNR]]/Table1[[#This Row],[Specificity]]</f>
        <v>0.59794602612733216</v>
      </c>
      <c r="AJ38" s="1">
        <f>Table1[[#This Row],[LRPlus]]/Table1[[#This Row],[LRMinus]]</f>
        <v>88.162529964222443</v>
      </c>
      <c r="AK38" s="1">
        <f>SQRT(Table1[[#This Row],[PPV]]*Table1[[#This Row],[Sensitivity]])</f>
        <v>0.22372457325158934</v>
      </c>
      <c r="AL38" s="1">
        <f>SQRT(Table1[[#This Row],[Sensitivity]]*Table1[[#This Row],[Specificity]]*Table1[[#This Row],[PPV]]*Table1[[#This Row],[NPV]]) - SQRT(Table1[[#This Row],[FNR]]*Table1[[#This Row],[FPR]]*Table1[[#This Row],[FOR]]*Table1[[#This Row],[FDR]])</f>
        <v>0.22015696429103382</v>
      </c>
      <c r="AM38" s="1">
        <f>Table1[[#This Row],[TP]]/(Table1[[#This Row],[TP]]+Table1[[#This Row],[FN]]+Table1[[#This Row],[FP]])</f>
        <v>0.10434286800342107</v>
      </c>
      <c r="AN38" s="1">
        <f>Table1[[#This Row],[Specificity]]+Table1[[#This Row],[Sensitivity]]-1</f>
        <v>0.39895243730072627</v>
      </c>
      <c r="AO38" s="4">
        <f>Table1[[#This Row],[FPR]]/Table1[[#This Row],[FP]]</f>
        <v>4.9304802287742831E-7</v>
      </c>
    </row>
    <row r="39" spans="1:41" x14ac:dyDescent="0.3">
      <c r="A39" t="s">
        <v>45</v>
      </c>
      <c r="B39" t="s">
        <v>54</v>
      </c>
      <c r="C39" t="s">
        <v>14</v>
      </c>
      <c r="D39">
        <v>300</v>
      </c>
      <c r="E39" s="2">
        <v>0.8061161</v>
      </c>
      <c r="F39">
        <v>27</v>
      </c>
      <c r="G39">
        <v>4718</v>
      </c>
      <c r="H39">
        <v>820470</v>
      </c>
      <c r="I39" s="1">
        <f>Table1[[#This Row],[PosPreBound]]/Table1[[#This Row],[NegActBound]]</f>
        <v>5.7503625970480336E-3</v>
      </c>
      <c r="J39">
        <v>2033600</v>
      </c>
      <c r="K39">
        <v>5400</v>
      </c>
      <c r="L39">
        <f>Table1[[#This Row],[Total]]-Table1[[#This Row],[PosAct]]</f>
        <v>2028200</v>
      </c>
      <c r="M39">
        <v>9550</v>
      </c>
      <c r="N39">
        <f>Table1[[#This Row],[Total]]-Table1[[#This Row],[PosPre]]</f>
        <v>2024050</v>
      </c>
      <c r="O39">
        <v>2147</v>
      </c>
      <c r="P39">
        <f>Table1[[#This Row],[PosPre]]-Table1[[#This Row],[TP]]</f>
        <v>7403</v>
      </c>
      <c r="Q39">
        <f>Table1[[#This Row],[PosAct]]-Table1[[#This Row],[TP]]</f>
        <v>3253</v>
      </c>
      <c r="R39">
        <f>Table1[[#This Row],[NegAct]]-Table1[[#This Row],[FP]]</f>
        <v>2020797</v>
      </c>
      <c r="S39" t="str">
        <f>IF(SUM(Table1[[#This Row],[TP]:[TN]])=Table1[[#This Row],[Total]],"","ERROR")</f>
        <v/>
      </c>
      <c r="T39" s="1">
        <f>Table1[[#This Row],[FP]]/(Table1[[#This Row],[FP]]+Table1[[#This Row],[TN]])</f>
        <v>3.6500345133616014E-3</v>
      </c>
      <c r="U39" s="1">
        <f>1-Table1[[#This Row],[FPR]]</f>
        <v>0.99634996548663834</v>
      </c>
      <c r="V39" s="1">
        <f>Table1[[#This Row],[FP]]/(Table1[[#This Row],[FP]]+Table1[[#This Row],[TP]])</f>
        <v>0.77518324607329847</v>
      </c>
      <c r="W39" s="1">
        <f>1-Table1[[#This Row],[FDR]]</f>
        <v>0.22481675392670153</v>
      </c>
      <c r="X39" s="1">
        <f>Table1[[#This Row],[FN]]/(Table1[[#This Row],[FN]]+Table1[[#This Row],[TP]])</f>
        <v>0.60240740740740739</v>
      </c>
      <c r="Y39" s="1">
        <f>1-Table1[[#This Row],[FNR]]</f>
        <v>0.39759259259259261</v>
      </c>
      <c r="Z39" s="1">
        <f>Table1[[#This Row],[TN]]/(Table1[[#This Row],[TN]]+Table1[[#This Row],[FN]])</f>
        <v>0.99839282626417336</v>
      </c>
      <c r="AA39" s="1">
        <f>1-Table1[[#This Row],[NPV]]</f>
        <v>1.6071737358266391E-3</v>
      </c>
      <c r="AB39" s="1">
        <f>Table1[[#This Row],[FNR]]/Table1[[#This Row],[FPR]]</f>
        <v>165.04156473101494</v>
      </c>
      <c r="AC39" s="1">
        <f>Table1[[#This Row],[Sensitivity]]/Table1[[#This Row],[Specificity]]</f>
        <v>0.39904913571046291</v>
      </c>
      <c r="AD39" s="1">
        <f>(Table1[[#This Row],[Sensitivity]]+Table1[[#This Row],[Specificity]])/2</f>
        <v>0.69697127903961542</v>
      </c>
      <c r="AE39" s="1">
        <f>(0.95*Table1[[#This Row],[Specificity]]+0.8*Table1[[#This Row],[Sensitivity]])/SUM(0.95,0.8)</f>
        <v>0.72263230930650313</v>
      </c>
      <c r="AF39" s="1">
        <f>AVERAGE((Table1[[#This Row],[Specificity]]-0.95)^2,(Table1[[#This Row],[Sensitivity]]-0.8)^2)</f>
        <v>8.2040020418481879E-2</v>
      </c>
      <c r="AG39" s="1">
        <f>2*(Table1[[#This Row],[PPV]]*Table1[[#This Row],[Sensitivity]])/(Table1[[#This Row],[PPV]]+Table1[[#This Row],[Sensitivity]])</f>
        <v>0.28722408026755852</v>
      </c>
      <c r="AH39" s="1">
        <f>Table1[[#This Row],[Sensitivity]]/Table1[[#This Row],[FPR]]</f>
        <v>108.92844742621861</v>
      </c>
      <c r="AI39" s="1">
        <f>Table1[[#This Row],[FNR]]/Table1[[#This Row],[Specificity]]</f>
        <v>0.60461427036149784</v>
      </c>
      <c r="AJ39" s="1">
        <f>Table1[[#This Row],[LRPlus]]/Table1[[#This Row],[LRMinus]]</f>
        <v>180.1618862900647</v>
      </c>
      <c r="AK39" s="1">
        <f>SQRT(Table1[[#This Row],[PPV]]*Table1[[#This Row],[Sensitivity]])</f>
        <v>0.29897403909364467</v>
      </c>
      <c r="AL39" s="1">
        <f>SQRT(Table1[[#This Row],[Sensitivity]]*Table1[[#This Row],[Specificity]]*Table1[[#This Row],[PPV]]*Table1[[#This Row],[NPV]]) - SQRT(Table1[[#This Row],[FNR]]*Table1[[#This Row],[FPR]]*Table1[[#This Row],[FOR]]*Table1[[#This Row],[FDR]])</f>
        <v>0.29653288689146179</v>
      </c>
      <c r="AM39" s="1">
        <f>Table1[[#This Row],[TP]]/(Table1[[#This Row],[TP]]+Table1[[#This Row],[FN]]+Table1[[#This Row],[FP]])</f>
        <v>0.16769507146762477</v>
      </c>
      <c r="AN39" s="1">
        <f>Table1[[#This Row],[Specificity]]+Table1[[#This Row],[Sensitivity]]-1</f>
        <v>0.39394255807923084</v>
      </c>
      <c r="AO39" s="4">
        <f>Table1[[#This Row],[FPR]]/Table1[[#This Row],[FP]]</f>
        <v>4.9304802287742831E-7</v>
      </c>
    </row>
    <row r="40" spans="1:41" x14ac:dyDescent="0.3">
      <c r="A40" t="s">
        <v>45</v>
      </c>
      <c r="B40" t="s">
        <v>55</v>
      </c>
      <c r="C40" t="s">
        <v>14</v>
      </c>
      <c r="D40">
        <v>300</v>
      </c>
      <c r="E40" s="2">
        <v>0.8061161</v>
      </c>
      <c r="F40">
        <v>64</v>
      </c>
      <c r="G40">
        <v>2784</v>
      </c>
      <c r="H40">
        <v>820470</v>
      </c>
      <c r="I40" s="1">
        <f>Table1[[#This Row],[PosPreBound]]/Table1[[#This Row],[NegActBound]]</f>
        <v>3.3931770814289372E-3</v>
      </c>
      <c r="J40">
        <v>2033600</v>
      </c>
      <c r="K40">
        <v>5400</v>
      </c>
      <c r="L40">
        <f>Table1[[#This Row],[Total]]-Table1[[#This Row],[PosAct]]</f>
        <v>2028200</v>
      </c>
      <c r="M40">
        <v>5234</v>
      </c>
      <c r="N40">
        <f>Table1[[#This Row],[Total]]-Table1[[#This Row],[PosPre]]</f>
        <v>2028366</v>
      </c>
      <c r="O40">
        <v>1892</v>
      </c>
      <c r="P40">
        <f>Table1[[#This Row],[PosPre]]-Table1[[#This Row],[TP]]</f>
        <v>3342</v>
      </c>
      <c r="Q40">
        <f>Table1[[#This Row],[PosAct]]-Table1[[#This Row],[TP]]</f>
        <v>3508</v>
      </c>
      <c r="R40">
        <f>Table1[[#This Row],[NegAct]]-Table1[[#This Row],[FP]]</f>
        <v>2024858</v>
      </c>
      <c r="S40" t="str">
        <f>IF(SUM(Table1[[#This Row],[TP]:[TN]])=Table1[[#This Row],[Total]],"","ERROR")</f>
        <v/>
      </c>
      <c r="T40" s="1">
        <f>Table1[[#This Row],[FP]]/(Table1[[#This Row],[FP]]+Table1[[#This Row],[TN]])</f>
        <v>1.6477664924563653E-3</v>
      </c>
      <c r="U40" s="1">
        <f>1-Table1[[#This Row],[FPR]]</f>
        <v>0.99835223350754365</v>
      </c>
      <c r="V40" s="1">
        <f>Table1[[#This Row],[FP]]/(Table1[[#This Row],[FP]]+Table1[[#This Row],[TP]])</f>
        <v>0.63851738632021393</v>
      </c>
      <c r="W40" s="1">
        <f>1-Table1[[#This Row],[FDR]]</f>
        <v>0.36148261367978607</v>
      </c>
      <c r="X40" s="1">
        <f>Table1[[#This Row],[FN]]/(Table1[[#This Row],[FN]]+Table1[[#This Row],[TP]])</f>
        <v>0.64962962962962967</v>
      </c>
      <c r="Y40" s="1">
        <f>1-Table1[[#This Row],[FNR]]</f>
        <v>0.35037037037037033</v>
      </c>
      <c r="Z40" s="1">
        <f>Table1[[#This Row],[TN]]/(Table1[[#This Row],[TN]]+Table1[[#This Row],[FN]])</f>
        <v>0.99827052908597369</v>
      </c>
      <c r="AA40" s="1">
        <f>1-Table1[[#This Row],[NPV]]</f>
        <v>1.7294709140263098E-3</v>
      </c>
      <c r="AB40" s="1">
        <f>Table1[[#This Row],[FNR]]/Table1[[#This Row],[FPR]]</f>
        <v>394.24859808941198</v>
      </c>
      <c r="AC40" s="1">
        <f>Table1[[#This Row],[Sensitivity]]/Table1[[#This Row],[Specificity]]</f>
        <v>0.35094865179937806</v>
      </c>
      <c r="AD40" s="1">
        <f>(Table1[[#This Row],[Sensitivity]]+Table1[[#This Row],[Specificity]])/2</f>
        <v>0.67436130193895694</v>
      </c>
      <c r="AE40" s="1">
        <f>(0.95*Table1[[#This Row],[Specificity]]+0.8*Table1[[#This Row],[Sensitivity]])/SUM(0.95,0.8)</f>
        <v>0.70213195321626443</v>
      </c>
      <c r="AF40" s="1">
        <f>AVERAGE((Table1[[#This Row],[Specificity]]-0.95)^2,(Table1[[#This Row],[Sensitivity]]-0.8)^2)</f>
        <v>0.10225237116302301</v>
      </c>
      <c r="AG40" s="1">
        <f>2*(Table1[[#This Row],[PPV]]*Table1[[#This Row],[Sensitivity]])/(Table1[[#This Row],[PPV]]+Table1[[#This Row],[Sensitivity]])</f>
        <v>0.35583975926274214</v>
      </c>
      <c r="AH40" s="1">
        <f>Table1[[#This Row],[Sensitivity]]/Table1[[#This Row],[FPR]]</f>
        <v>212.63350843362809</v>
      </c>
      <c r="AI40" s="1">
        <f>Table1[[#This Row],[FNR]]/Table1[[#This Row],[Specificity]]</f>
        <v>0.65070183430878359</v>
      </c>
      <c r="AJ40" s="1">
        <f>Table1[[#This Row],[LRPlus]]/Table1[[#This Row],[LRMinus]]</f>
        <v>326.77564012018007</v>
      </c>
      <c r="AK40" s="1">
        <f>SQRT(Table1[[#This Row],[PPV]]*Table1[[#This Row],[Sensitivity]])</f>
        <v>0.35588312300169017</v>
      </c>
      <c r="AL40" s="1">
        <f>SQRT(Table1[[#This Row],[Sensitivity]]*Table1[[#This Row],[Specificity]]*Table1[[#This Row],[PPV]]*Table1[[#This Row],[NPV]]) - SQRT(Table1[[#This Row],[FNR]]*Table1[[#This Row],[FPR]]*Table1[[#This Row],[FOR]]*Table1[[#This Row],[FDR]])</f>
        <v>0.35419493601481467</v>
      </c>
      <c r="AM40" s="1">
        <f>Table1[[#This Row],[TP]]/(Table1[[#This Row],[TP]]+Table1[[#This Row],[FN]]+Table1[[#This Row],[FP]])</f>
        <v>0.21642644703729125</v>
      </c>
      <c r="AN40" s="1">
        <f>Table1[[#This Row],[Specificity]]+Table1[[#This Row],[Sensitivity]]-1</f>
        <v>0.34872260387791387</v>
      </c>
      <c r="AO40" s="4">
        <f>Table1[[#This Row],[FPR]]/Table1[[#This Row],[FP]]</f>
        <v>4.9304802287742831E-7</v>
      </c>
    </row>
    <row r="41" spans="1:41" x14ac:dyDescent="0.3">
      <c r="A41" t="s">
        <v>45</v>
      </c>
      <c r="B41" t="s">
        <v>53</v>
      </c>
      <c r="C41" t="s">
        <v>14</v>
      </c>
      <c r="D41">
        <v>300</v>
      </c>
      <c r="E41" s="2">
        <v>0.8061161</v>
      </c>
      <c r="F41">
        <v>125</v>
      </c>
      <c r="G41">
        <v>1822</v>
      </c>
      <c r="H41">
        <v>820470</v>
      </c>
      <c r="I41" s="1">
        <f>Table1[[#This Row],[PosPreBound]]/Table1[[#This Row],[NegActBound]]</f>
        <v>2.2206783916535644E-3</v>
      </c>
      <c r="J41">
        <v>2033600</v>
      </c>
      <c r="K41">
        <v>5400</v>
      </c>
      <c r="L41">
        <f>Table1[[#This Row],[Total]]-Table1[[#This Row],[PosAct]]</f>
        <v>2028200</v>
      </c>
      <c r="M41">
        <v>3491</v>
      </c>
      <c r="N41">
        <f>Table1[[#This Row],[Total]]-Table1[[#This Row],[PosPre]]</f>
        <v>2030109</v>
      </c>
      <c r="O41">
        <v>1605</v>
      </c>
      <c r="P41">
        <f>Table1[[#This Row],[PosPre]]-Table1[[#This Row],[TP]]</f>
        <v>1886</v>
      </c>
      <c r="Q41">
        <f>Table1[[#This Row],[PosAct]]-Table1[[#This Row],[TP]]</f>
        <v>3795</v>
      </c>
      <c r="R41">
        <f>Table1[[#This Row],[NegAct]]-Table1[[#This Row],[FP]]</f>
        <v>2026314</v>
      </c>
      <c r="S41" t="str">
        <f>IF(SUM(Table1[[#This Row],[TP]:[TN]])=Table1[[#This Row],[Total]],"","ERROR")</f>
        <v/>
      </c>
      <c r="T41" s="1">
        <f>Table1[[#This Row],[FP]]/(Table1[[#This Row],[FP]]+Table1[[#This Row],[TN]])</f>
        <v>9.2988857114682973E-4</v>
      </c>
      <c r="U41" s="1">
        <f>1-Table1[[#This Row],[FPR]]</f>
        <v>0.99907011142885316</v>
      </c>
      <c r="V41" s="1">
        <f>Table1[[#This Row],[FP]]/(Table1[[#This Row],[FP]]+Table1[[#This Row],[TP]])</f>
        <v>0.5402463477513606</v>
      </c>
      <c r="W41" s="1">
        <f>1-Table1[[#This Row],[FDR]]</f>
        <v>0.4597536522486394</v>
      </c>
      <c r="X41" s="1">
        <f>Table1[[#This Row],[FN]]/(Table1[[#This Row],[FN]]+Table1[[#This Row],[TP]])</f>
        <v>0.70277777777777772</v>
      </c>
      <c r="Y41" s="1">
        <f>1-Table1[[#This Row],[FNR]]</f>
        <v>0.29722222222222228</v>
      </c>
      <c r="Z41" s="1">
        <f>Table1[[#This Row],[TN]]/(Table1[[#This Row],[TN]]+Table1[[#This Row],[FN]])</f>
        <v>0.99813064224630299</v>
      </c>
      <c r="AA41" s="1">
        <f>1-Table1[[#This Row],[NPV]]</f>
        <v>1.8693577536970096E-3</v>
      </c>
      <c r="AB41" s="1">
        <f>Table1[[#This Row],[FNR]]/Table1[[#This Row],[FPR]]</f>
        <v>755.76558265582651</v>
      </c>
      <c r="AC41" s="1">
        <f>Table1[[#This Row],[Sensitivity]]/Table1[[#This Row],[Specificity]]</f>
        <v>0.297498863014869</v>
      </c>
      <c r="AD41" s="1">
        <f>(Table1[[#This Row],[Sensitivity]]+Table1[[#This Row],[Specificity]])/2</f>
        <v>0.64814616682553772</v>
      </c>
      <c r="AE41" s="1">
        <f>(0.95*Table1[[#This Row],[Specificity]]+0.8*Table1[[#This Row],[Sensitivity]])/SUM(0.95,0.8)</f>
        <v>0.67822536207725037</v>
      </c>
      <c r="AF41" s="1">
        <f>AVERAGE((Table1[[#This Row],[Specificity]]-0.95)^2,(Table1[[#This Row],[Sensitivity]]-0.8)^2)</f>
        <v>0.12759668483140027</v>
      </c>
      <c r="AG41" s="1">
        <f>2*(Table1[[#This Row],[PPV]]*Table1[[#This Row],[Sensitivity]])/(Table1[[#This Row],[PPV]]+Table1[[#This Row],[Sensitivity]])</f>
        <v>0.36103925317737046</v>
      </c>
      <c r="AH41" s="1">
        <f>Table1[[#This Row],[Sensitivity]]/Table1[[#This Row],[FPR]]</f>
        <v>319.63208436432194</v>
      </c>
      <c r="AI41" s="1">
        <f>Table1[[#This Row],[FNR]]/Table1[[#This Row],[Specificity]]</f>
        <v>0.70343189105384896</v>
      </c>
      <c r="AJ41" s="1">
        <f>Table1[[#This Row],[LRPlus]]/Table1[[#This Row],[LRMinus]]</f>
        <v>454.38952715871898</v>
      </c>
      <c r="AK41" s="1">
        <f>SQRT(Table1[[#This Row],[PPV]]*Table1[[#This Row],[Sensitivity]])</f>
        <v>0.36966065816654525</v>
      </c>
      <c r="AL41" s="1">
        <f>SQRT(Table1[[#This Row],[Sensitivity]]*Table1[[#This Row],[Specificity]]*Table1[[#This Row],[PPV]]*Table1[[#This Row],[NPV]]) - SQRT(Table1[[#This Row],[FNR]]*Table1[[#This Row],[FPR]]*Table1[[#This Row],[FOR]]*Table1[[#This Row],[FDR]])</f>
        <v>0.36833083791352955</v>
      </c>
      <c r="AM41" s="1">
        <f>Table1[[#This Row],[TP]]/(Table1[[#This Row],[TP]]+Table1[[#This Row],[FN]]+Table1[[#This Row],[FP]])</f>
        <v>0.22028547900082349</v>
      </c>
      <c r="AN41" s="1">
        <f>Table1[[#This Row],[Specificity]]+Table1[[#This Row],[Sensitivity]]-1</f>
        <v>0.29629233365107543</v>
      </c>
      <c r="AO41" s="4">
        <f>Table1[[#This Row],[FPR]]/Table1[[#This Row],[FP]]</f>
        <v>4.9304802287742831E-7</v>
      </c>
    </row>
    <row r="42" spans="1:41" x14ac:dyDescent="0.3">
      <c r="A42" t="s">
        <v>45</v>
      </c>
      <c r="B42" t="s">
        <v>56</v>
      </c>
      <c r="C42" t="s">
        <v>14</v>
      </c>
      <c r="D42">
        <v>300</v>
      </c>
      <c r="E42" s="2">
        <v>0.94959170000000004</v>
      </c>
      <c r="F42">
        <v>1</v>
      </c>
      <c r="G42">
        <v>4044</v>
      </c>
      <c r="H42">
        <v>820470</v>
      </c>
      <c r="I42" s="1">
        <f>Table1[[#This Row],[PosPreBound]]/Table1[[#This Row],[NegActBound]]</f>
        <v>4.9288822260411718E-3</v>
      </c>
      <c r="J42">
        <v>2033600</v>
      </c>
      <c r="K42">
        <v>5400</v>
      </c>
      <c r="L42">
        <f>Table1[[#This Row],[Total]]-Table1[[#This Row],[PosAct]]</f>
        <v>2028200</v>
      </c>
      <c r="M42">
        <v>8745</v>
      </c>
      <c r="N42">
        <f>Table1[[#This Row],[Total]]-Table1[[#This Row],[PosPre]]</f>
        <v>2024855</v>
      </c>
      <c r="O42">
        <v>642</v>
      </c>
      <c r="P42">
        <f>Table1[[#This Row],[PosPre]]-Table1[[#This Row],[TP]]</f>
        <v>8103</v>
      </c>
      <c r="Q42">
        <f>Table1[[#This Row],[PosAct]]-Table1[[#This Row],[TP]]</f>
        <v>4758</v>
      </c>
      <c r="R42">
        <f>Table1[[#This Row],[NegAct]]-Table1[[#This Row],[FP]]</f>
        <v>2020097</v>
      </c>
      <c r="S42" t="str">
        <f>IF(SUM(Table1[[#This Row],[TP]:[TN]])=Table1[[#This Row],[Total]],"","ERROR")</f>
        <v/>
      </c>
      <c r="T42" s="1">
        <f>Table1[[#This Row],[FP]]/(Table1[[#This Row],[FP]]+Table1[[#This Row],[TN]])</f>
        <v>3.9951681293758012E-3</v>
      </c>
      <c r="U42" s="1">
        <f>1-Table1[[#This Row],[FPR]]</f>
        <v>0.99600483187062416</v>
      </c>
      <c r="V42" s="1">
        <f>Table1[[#This Row],[FP]]/(Table1[[#This Row],[FP]]+Table1[[#This Row],[TP]])</f>
        <v>0.92658662092624355</v>
      </c>
      <c r="W42" s="1">
        <f>1-Table1[[#This Row],[FDR]]</f>
        <v>7.3413379073756446E-2</v>
      </c>
      <c r="X42" s="1">
        <f>Table1[[#This Row],[FN]]/(Table1[[#This Row],[FN]]+Table1[[#This Row],[TP]])</f>
        <v>0.88111111111111107</v>
      </c>
      <c r="Y42" s="1">
        <f>1-Table1[[#This Row],[FNR]]</f>
        <v>0.11888888888888893</v>
      </c>
      <c r="Z42" s="1">
        <f>Table1[[#This Row],[TN]]/(Table1[[#This Row],[TN]]+Table1[[#This Row],[FN]])</f>
        <v>0.99765020211323774</v>
      </c>
      <c r="AA42" s="1">
        <f>1-Table1[[#This Row],[NPV]]</f>
        <v>2.3497978867622615E-3</v>
      </c>
      <c r="AB42" s="1">
        <f>Table1[[#This Row],[FNR]]/Table1[[#This Row],[FPR]]</f>
        <v>220.54418802364006</v>
      </c>
      <c r="AC42" s="1">
        <f>Table1[[#This Row],[Sensitivity]]/Table1[[#This Row],[Specificity]]</f>
        <v>0.11936577522982537</v>
      </c>
      <c r="AD42" s="1">
        <f>(Table1[[#This Row],[Sensitivity]]+Table1[[#This Row],[Specificity]])/2</f>
        <v>0.55744686037975655</v>
      </c>
      <c r="AE42" s="1">
        <f>(0.95*Table1[[#This Row],[Specificity]]+0.8*Table1[[#This Row],[Sensitivity]])/SUM(0.95,0.8)</f>
        <v>0.59503754365040229</v>
      </c>
      <c r="AF42" s="1">
        <f>AVERAGE((Table1[[#This Row],[Specificity]]-0.95)^2,(Table1[[#This Row],[Sensitivity]]-0.8)^2)</f>
        <v>0.23301439511722838</v>
      </c>
      <c r="AG42" s="1">
        <f>2*(Table1[[#This Row],[PPV]]*Table1[[#This Row],[Sensitivity]])/(Table1[[#This Row],[PPV]]+Table1[[#This Row],[Sensitivity]])</f>
        <v>9.07741251325557E-2</v>
      </c>
      <c r="AH42" s="1">
        <f>Table1[[#This Row],[Sensitivity]]/Table1[[#This Row],[FPR]]</f>
        <v>29.758169128032154</v>
      </c>
      <c r="AI42" s="1">
        <f>Table1[[#This Row],[FNR]]/Table1[[#This Row],[Specificity]]</f>
        <v>0.88464541829206988</v>
      </c>
      <c r="AJ42" s="1">
        <f>Table1[[#This Row],[LRPlus]]/Table1[[#This Row],[LRMinus]]</f>
        <v>33.638527383643051</v>
      </c>
      <c r="AK42" s="1">
        <f>SQRT(Table1[[#This Row],[PPV]]*Table1[[#This Row],[Sensitivity]])</f>
        <v>9.342395339342964E-2</v>
      </c>
      <c r="AL42" s="1">
        <f>SQRT(Table1[[#This Row],[Sensitivity]]*Table1[[#This Row],[Specificity]]*Table1[[#This Row],[PPV]]*Table1[[#This Row],[NPV]]) - SQRT(Table1[[#This Row],[FNR]]*Table1[[#This Row],[FPR]]*Table1[[#This Row],[FOR]]*Table1[[#This Row],[FDR]])</f>
        <v>9.0359057393653117E-2</v>
      </c>
      <c r="AM42" s="1">
        <f>Table1[[#This Row],[TP]]/(Table1[[#This Row],[TP]]+Table1[[#This Row],[FN]]+Table1[[#This Row],[FP]])</f>
        <v>4.7544990002221725E-2</v>
      </c>
      <c r="AN42" s="1">
        <f>Table1[[#This Row],[Specificity]]+Table1[[#This Row],[Sensitivity]]-1</f>
        <v>0.1148937207595131</v>
      </c>
      <c r="AO42" s="4">
        <f>Table1[[#This Row],[FPR]]/Table1[[#This Row],[FP]]</f>
        <v>4.9304802287742831E-7</v>
      </c>
    </row>
    <row r="43" spans="1:41" x14ac:dyDescent="0.3">
      <c r="A43" t="s">
        <v>45</v>
      </c>
      <c r="B43" t="s">
        <v>57</v>
      </c>
      <c r="C43" t="s">
        <v>14</v>
      </c>
      <c r="D43">
        <v>300</v>
      </c>
      <c r="E43" s="2">
        <v>0.94959170000000004</v>
      </c>
      <c r="F43">
        <v>8</v>
      </c>
      <c r="G43">
        <v>2685</v>
      </c>
      <c r="H43">
        <v>820470</v>
      </c>
      <c r="I43" s="1">
        <f>Table1[[#This Row],[PosPreBound]]/Table1[[#This Row],[NegActBound]]</f>
        <v>3.2725145343522615E-3</v>
      </c>
      <c r="J43">
        <v>2033600</v>
      </c>
      <c r="K43">
        <v>5400</v>
      </c>
      <c r="L43">
        <f>Table1[[#This Row],[Total]]-Table1[[#This Row],[PosAct]]</f>
        <v>2028200</v>
      </c>
      <c r="M43">
        <v>5561</v>
      </c>
      <c r="N43">
        <f>Table1[[#This Row],[Total]]-Table1[[#This Row],[PosPre]]</f>
        <v>2028039</v>
      </c>
      <c r="O43">
        <v>629</v>
      </c>
      <c r="P43">
        <f>Table1[[#This Row],[PosPre]]-Table1[[#This Row],[TP]]</f>
        <v>4932</v>
      </c>
      <c r="Q43">
        <f>Table1[[#This Row],[PosAct]]-Table1[[#This Row],[TP]]</f>
        <v>4771</v>
      </c>
      <c r="R43">
        <f>Table1[[#This Row],[NegAct]]-Table1[[#This Row],[FP]]</f>
        <v>2023268</v>
      </c>
      <c r="S43" t="str">
        <f>IF(SUM(Table1[[#This Row],[TP]:[TN]])=Table1[[#This Row],[Total]],"","ERROR")</f>
        <v/>
      </c>
      <c r="T43" s="1">
        <f>Table1[[#This Row],[FP]]/(Table1[[#This Row],[FP]]+Table1[[#This Row],[TN]])</f>
        <v>2.4317128488314764E-3</v>
      </c>
      <c r="U43" s="1">
        <f>1-Table1[[#This Row],[FPR]]</f>
        <v>0.99756828715116852</v>
      </c>
      <c r="V43" s="1">
        <f>Table1[[#This Row],[FP]]/(Table1[[#This Row],[FP]]+Table1[[#This Row],[TP]])</f>
        <v>0.88689084696996945</v>
      </c>
      <c r="W43" s="1">
        <f>1-Table1[[#This Row],[FDR]]</f>
        <v>0.11310915303003055</v>
      </c>
      <c r="X43" s="1">
        <f>Table1[[#This Row],[FN]]/(Table1[[#This Row],[FN]]+Table1[[#This Row],[TP]])</f>
        <v>0.88351851851851848</v>
      </c>
      <c r="Y43" s="1">
        <f>1-Table1[[#This Row],[FNR]]</f>
        <v>0.11648148148148152</v>
      </c>
      <c r="Z43" s="1">
        <f>Table1[[#This Row],[TN]]/(Table1[[#This Row],[TN]]+Table1[[#This Row],[FN]])</f>
        <v>0.99764748113818325</v>
      </c>
      <c r="AA43" s="1">
        <f>1-Table1[[#This Row],[NPV]]</f>
        <v>2.3525188618167547E-3</v>
      </c>
      <c r="AB43" s="1">
        <f>Table1[[#This Row],[FNR]]/Table1[[#This Row],[FPR]]</f>
        <v>363.33176384007686</v>
      </c>
      <c r="AC43" s="1">
        <f>Table1[[#This Row],[Sensitivity]]/Table1[[#This Row],[Specificity]]</f>
        <v>0.11676542145713807</v>
      </c>
      <c r="AD43" s="1">
        <f>(Table1[[#This Row],[Sensitivity]]+Table1[[#This Row],[Specificity]])/2</f>
        <v>0.55702488431632502</v>
      </c>
      <c r="AE43" s="1">
        <f>(0.95*Table1[[#This Row],[Specificity]]+0.8*Table1[[#This Row],[Sensitivity]])/SUM(0.95,0.8)</f>
        <v>0.59478574741645451</v>
      </c>
      <c r="AF43" s="1">
        <f>AVERAGE((Table1[[#This Row],[Specificity]]-0.95)^2,(Table1[[#This Row],[Sensitivity]]-0.8)^2)</f>
        <v>0.23473015355012319</v>
      </c>
      <c r="AG43" s="1">
        <f>2*(Table1[[#This Row],[PPV]]*Table1[[#This Row],[Sensitivity]])/(Table1[[#This Row],[PPV]]+Table1[[#This Row],[Sensitivity]])</f>
        <v>0.11477055013228721</v>
      </c>
      <c r="AH43" s="1">
        <f>Table1[[#This Row],[Sensitivity]]/Table1[[#This Row],[FPR]]</f>
        <v>47.901001772250773</v>
      </c>
      <c r="AI43" s="1">
        <f>Table1[[#This Row],[FNR]]/Table1[[#This Row],[Specificity]]</f>
        <v>0.8856722190333951</v>
      </c>
      <c r="AJ43" s="1">
        <f>Table1[[#This Row],[LRPlus]]/Table1[[#This Row],[LRMinus]]</f>
        <v>54.08434491095246</v>
      </c>
      <c r="AK43" s="1">
        <f>SQRT(Table1[[#This Row],[PPV]]*Table1[[#This Row],[Sensitivity]])</f>
        <v>0.11478293302601028</v>
      </c>
      <c r="AL43" s="1">
        <f>SQRT(Table1[[#This Row],[Sensitivity]]*Table1[[#This Row],[Specificity]]*Table1[[#This Row],[PPV]]*Table1[[#This Row],[NPV]]) - SQRT(Table1[[#This Row],[FNR]]*Table1[[#This Row],[FPR]]*Table1[[#This Row],[FOR]]*Table1[[#This Row],[FDR]])</f>
        <v>0.11239114067138854</v>
      </c>
      <c r="AM43" s="1">
        <f>Table1[[#This Row],[TP]]/(Table1[[#This Row],[TP]]+Table1[[#This Row],[FN]]+Table1[[#This Row],[FP]])</f>
        <v>6.0878823073945022E-2</v>
      </c>
      <c r="AN43" s="1">
        <f>Table1[[#This Row],[Specificity]]+Table1[[#This Row],[Sensitivity]]-1</f>
        <v>0.11404976863265004</v>
      </c>
      <c r="AO43" s="4">
        <f>Table1[[#This Row],[FPR]]/Table1[[#This Row],[FP]]</f>
        <v>4.9304802287742831E-7</v>
      </c>
    </row>
    <row r="44" spans="1:41" x14ac:dyDescent="0.3">
      <c r="A44" t="s">
        <v>45</v>
      </c>
      <c r="B44" t="s">
        <v>59</v>
      </c>
      <c r="C44" t="s">
        <v>14</v>
      </c>
      <c r="D44">
        <v>300</v>
      </c>
      <c r="E44" s="2">
        <v>0.94959170000000004</v>
      </c>
      <c r="F44">
        <v>27</v>
      </c>
      <c r="G44">
        <v>1041</v>
      </c>
      <c r="H44">
        <v>820470</v>
      </c>
      <c r="I44" s="1">
        <f>Table1[[#This Row],[PosPreBound]]/Table1[[#This Row],[NegActBound]]</f>
        <v>1.268784964715346E-3</v>
      </c>
      <c r="J44">
        <v>2033600</v>
      </c>
      <c r="K44">
        <v>5400</v>
      </c>
      <c r="L44">
        <f>Table1[[#This Row],[Total]]-Table1[[#This Row],[PosAct]]</f>
        <v>2028200</v>
      </c>
      <c r="M44">
        <v>1978</v>
      </c>
      <c r="N44">
        <f>Table1[[#This Row],[Total]]-Table1[[#This Row],[PosPre]]</f>
        <v>2031622</v>
      </c>
      <c r="O44">
        <v>557</v>
      </c>
      <c r="P44">
        <f>Table1[[#This Row],[PosPre]]-Table1[[#This Row],[TP]]</f>
        <v>1421</v>
      </c>
      <c r="Q44">
        <f>Table1[[#This Row],[PosAct]]-Table1[[#This Row],[TP]]</f>
        <v>4843</v>
      </c>
      <c r="R44">
        <f>Table1[[#This Row],[NegAct]]-Table1[[#This Row],[FP]]</f>
        <v>2026779</v>
      </c>
      <c r="S44" t="str">
        <f>IF(SUM(Table1[[#This Row],[TP]:[TN]])=Table1[[#This Row],[Total]],"","ERROR")</f>
        <v/>
      </c>
      <c r="T44" s="1">
        <f>Table1[[#This Row],[FP]]/(Table1[[#This Row],[FP]]+Table1[[#This Row],[TN]])</f>
        <v>7.0062124050882554E-4</v>
      </c>
      <c r="U44" s="1">
        <f>1-Table1[[#This Row],[FPR]]</f>
        <v>0.99929937875949115</v>
      </c>
      <c r="V44" s="1">
        <f>Table1[[#This Row],[FP]]/(Table1[[#This Row],[FP]]+Table1[[#This Row],[TP]])</f>
        <v>0.71840242669362997</v>
      </c>
      <c r="W44" s="1">
        <f>1-Table1[[#This Row],[FDR]]</f>
        <v>0.28159757330637003</v>
      </c>
      <c r="X44" s="1">
        <f>Table1[[#This Row],[FN]]/(Table1[[#This Row],[FN]]+Table1[[#This Row],[TP]])</f>
        <v>0.8968518518518519</v>
      </c>
      <c r="Y44" s="1">
        <f>1-Table1[[#This Row],[FNR]]</f>
        <v>0.1031481481481481</v>
      </c>
      <c r="Z44" s="1">
        <f>Table1[[#This Row],[TN]]/(Table1[[#This Row],[TN]]+Table1[[#This Row],[FN]])</f>
        <v>0.99761619041337413</v>
      </c>
      <c r="AA44" s="1">
        <f>1-Table1[[#This Row],[NPV]]</f>
        <v>2.3838095866258735E-3</v>
      </c>
      <c r="AB44" s="1">
        <f>Table1[[#This Row],[FNR]]/Table1[[#This Row],[FPR]]</f>
        <v>1280.0808767951626</v>
      </c>
      <c r="AC44" s="1">
        <f>Table1[[#This Row],[Sensitivity]]/Table1[[#This Row],[Specificity]]</f>
        <v>0.10322046659950294</v>
      </c>
      <c r="AD44" s="1">
        <f>(Table1[[#This Row],[Sensitivity]]+Table1[[#This Row],[Specificity]])/2</f>
        <v>0.55122376345381963</v>
      </c>
      <c r="AE44" s="1">
        <f>(0.95*Table1[[#This Row],[Specificity]]+0.8*Table1[[#This Row],[Sensitivity]])/SUM(0.95,0.8)</f>
        <v>0.58963024476573433</v>
      </c>
      <c r="AF44" s="1">
        <f>AVERAGE((Table1[[#This Row],[Specificity]]-0.95)^2,(Table1[[#This Row],[Sensitivity]]-0.8)^2)</f>
        <v>0.24401646608771357</v>
      </c>
      <c r="AG44" s="1">
        <f>2*(Table1[[#This Row],[PPV]]*Table1[[#This Row],[Sensitivity]])/(Table1[[#This Row],[PPV]]+Table1[[#This Row],[Sensitivity]])</f>
        <v>0.15098942802927617</v>
      </c>
      <c r="AH44" s="1">
        <f>Table1[[#This Row],[Sensitivity]]/Table1[[#This Row],[FPR]]</f>
        <v>147.22383819428148</v>
      </c>
      <c r="AI44" s="1">
        <f>Table1[[#This Row],[FNR]]/Table1[[#This Row],[Specificity]]</f>
        <v>0.89748064585528375</v>
      </c>
      <c r="AJ44" s="1">
        <f>Table1[[#This Row],[LRPlus]]/Table1[[#This Row],[LRMinus]]</f>
        <v>164.041240191848</v>
      </c>
      <c r="AK44" s="1">
        <f>SQRT(Table1[[#This Row],[PPV]]*Table1[[#This Row],[Sensitivity]])</f>
        <v>0.17042965765841475</v>
      </c>
      <c r="AL44" s="1">
        <f>SQRT(Table1[[#This Row],[Sensitivity]]*Table1[[#This Row],[Specificity]]*Table1[[#This Row],[PPV]]*Table1[[#This Row],[NPV]]) - SQRT(Table1[[#This Row],[FNR]]*Table1[[#This Row],[FPR]]*Table1[[#This Row],[FOR]]*Table1[[#This Row],[FDR]])</f>
        <v>0.16912941663608291</v>
      </c>
      <c r="AM44" s="1">
        <f>Table1[[#This Row],[TP]]/(Table1[[#This Row],[TP]]+Table1[[#This Row],[FN]]+Table1[[#This Row],[FP]])</f>
        <v>8.1659580706641255E-2</v>
      </c>
      <c r="AN44" s="1">
        <f>Table1[[#This Row],[Specificity]]+Table1[[#This Row],[Sensitivity]]-1</f>
        <v>0.10244752690763925</v>
      </c>
      <c r="AO44" s="4">
        <f>Table1[[#This Row],[FPR]]/Table1[[#This Row],[FP]]</f>
        <v>4.930480228774282E-7</v>
      </c>
    </row>
    <row r="45" spans="1:41" x14ac:dyDescent="0.3">
      <c r="A45" t="s">
        <v>45</v>
      </c>
      <c r="B45" t="s">
        <v>60</v>
      </c>
      <c r="C45" t="s">
        <v>14</v>
      </c>
      <c r="D45">
        <v>300</v>
      </c>
      <c r="E45" s="2">
        <v>0.94959170000000004</v>
      </c>
      <c r="F45">
        <v>64</v>
      </c>
      <c r="G45">
        <v>510</v>
      </c>
      <c r="H45">
        <v>820470</v>
      </c>
      <c r="I45" s="1">
        <f>Table1[[#This Row],[PosPreBound]]/Table1[[#This Row],[NegActBound]]</f>
        <v>6.2159493948590438E-4</v>
      </c>
      <c r="J45">
        <v>2033600</v>
      </c>
      <c r="K45">
        <v>5400</v>
      </c>
      <c r="L45">
        <f>Table1[[#This Row],[Total]]-Table1[[#This Row],[PosAct]]</f>
        <v>2028200</v>
      </c>
      <c r="M45">
        <v>937</v>
      </c>
      <c r="N45">
        <f>Table1[[#This Row],[Total]]-Table1[[#This Row],[PosPre]]</f>
        <v>2032663</v>
      </c>
      <c r="O45">
        <v>427</v>
      </c>
      <c r="P45">
        <f>Table1[[#This Row],[PosPre]]-Table1[[#This Row],[TP]]</f>
        <v>510</v>
      </c>
      <c r="Q45">
        <f>Table1[[#This Row],[PosAct]]-Table1[[#This Row],[TP]]</f>
        <v>4973</v>
      </c>
      <c r="R45">
        <f>Table1[[#This Row],[NegAct]]-Table1[[#This Row],[FP]]</f>
        <v>2027690</v>
      </c>
      <c r="S45" t="str">
        <f>IF(SUM(Table1[[#This Row],[TP]:[TN]])=Table1[[#This Row],[Total]],"","ERROR")</f>
        <v/>
      </c>
      <c r="T45" s="1">
        <f>Table1[[#This Row],[FP]]/(Table1[[#This Row],[FP]]+Table1[[#This Row],[TN]])</f>
        <v>2.5145449166748843E-4</v>
      </c>
      <c r="U45" s="1">
        <f>1-Table1[[#This Row],[FPR]]</f>
        <v>0.99974854550833248</v>
      </c>
      <c r="V45" s="1">
        <f>Table1[[#This Row],[FP]]/(Table1[[#This Row],[FP]]+Table1[[#This Row],[TP]])</f>
        <v>0.54429028815368197</v>
      </c>
      <c r="W45" s="1">
        <f>1-Table1[[#This Row],[FDR]]</f>
        <v>0.45570971184631803</v>
      </c>
      <c r="X45" s="1">
        <f>Table1[[#This Row],[FN]]/(Table1[[#This Row],[FN]]+Table1[[#This Row],[TP]])</f>
        <v>0.92092592592592593</v>
      </c>
      <c r="Y45" s="1">
        <f>1-Table1[[#This Row],[FNR]]</f>
        <v>7.9074074074074074E-2</v>
      </c>
      <c r="Z45" s="1">
        <f>Table1[[#This Row],[TN]]/(Table1[[#This Row],[TN]]+Table1[[#This Row],[FN]])</f>
        <v>0.997553455737621</v>
      </c>
      <c r="AA45" s="1">
        <f>1-Table1[[#This Row],[NPV]]</f>
        <v>2.4465442623790024E-3</v>
      </c>
      <c r="AB45" s="1">
        <f>Table1[[#This Row],[FNR]]/Table1[[#This Row],[FPR]]</f>
        <v>3662.3960058097309</v>
      </c>
      <c r="AC45" s="1">
        <f>Table1[[#This Row],[Sensitivity]]/Table1[[#This Row],[Specificity]]</f>
        <v>7.9093962606235191E-2</v>
      </c>
      <c r="AD45" s="1">
        <f>(Table1[[#This Row],[Sensitivity]]+Table1[[#This Row],[Specificity]])/2</f>
        <v>0.53941130979120322</v>
      </c>
      <c r="AE45" s="1">
        <f>(0.95*Table1[[#This Row],[Specificity]]+0.8*Table1[[#This Row],[Sensitivity]])/SUM(0.95,0.8)</f>
        <v>0.57886878713838574</v>
      </c>
      <c r="AF45" s="1">
        <f>AVERAGE((Table1[[#This Row],[Specificity]]-0.95)^2,(Table1[[#This Row],[Sensitivity]]-0.8)^2)</f>
        <v>0.26110455422617412</v>
      </c>
      <c r="AG45" s="1">
        <f>2*(Table1[[#This Row],[PPV]]*Table1[[#This Row],[Sensitivity]])/(Table1[[#This Row],[PPV]]+Table1[[#This Row],[Sensitivity]])</f>
        <v>0.13476408395139658</v>
      </c>
      <c r="AH45" s="1">
        <f>Table1[[#This Row],[Sensitivity]]/Table1[[#This Row],[FPR]]</f>
        <v>314.46673928830791</v>
      </c>
      <c r="AI45" s="1">
        <f>Table1[[#This Row],[FNR]]/Table1[[#This Row],[Specificity]]</f>
        <v>0.92115755513069697</v>
      </c>
      <c r="AJ45" s="1">
        <f>Table1[[#This Row],[LRPlus]]/Table1[[#This Row],[LRMinus]]</f>
        <v>341.38214199816264</v>
      </c>
      <c r="AK45" s="1">
        <f>SQRT(Table1[[#This Row],[PPV]]*Table1[[#This Row],[Sensitivity]])</f>
        <v>0.18982840543714924</v>
      </c>
      <c r="AL45" s="1">
        <f>SQRT(Table1[[#This Row],[Sensitivity]]*Table1[[#This Row],[Specificity]]*Table1[[#This Row],[PPV]]*Table1[[#This Row],[NPV]]) - SQRT(Table1[[#This Row],[FNR]]*Table1[[#This Row],[FPR]]*Table1[[#This Row],[FOR]]*Table1[[#This Row],[FDR]])</f>
        <v>0.18901690461222095</v>
      </c>
      <c r="AM45" s="1">
        <f>Table1[[#This Row],[TP]]/(Table1[[#This Row],[TP]]+Table1[[#This Row],[FN]]+Table1[[#This Row],[FP]])</f>
        <v>7.2250423011844325E-2</v>
      </c>
      <c r="AN45" s="1">
        <f>Table1[[#This Row],[Specificity]]+Table1[[#This Row],[Sensitivity]]-1</f>
        <v>7.8822619582406439E-2</v>
      </c>
      <c r="AO45" s="4">
        <f>Table1[[#This Row],[FPR]]/Table1[[#This Row],[FP]]</f>
        <v>4.9304802287742831E-7</v>
      </c>
    </row>
    <row r="46" spans="1:41" x14ac:dyDescent="0.3">
      <c r="A46" t="s">
        <v>45</v>
      </c>
      <c r="B46" t="s">
        <v>58</v>
      </c>
      <c r="C46" t="s">
        <v>14</v>
      </c>
      <c r="D46">
        <v>300</v>
      </c>
      <c r="E46" s="2">
        <v>0.94959170000000004</v>
      </c>
      <c r="F46">
        <v>125</v>
      </c>
      <c r="G46">
        <v>0</v>
      </c>
      <c r="H46">
        <v>820470</v>
      </c>
      <c r="I46" s="1">
        <f>Table1[[#This Row],[PosPreBound]]/Table1[[#This Row],[NegActBound]]</f>
        <v>0</v>
      </c>
      <c r="J46">
        <v>2033600</v>
      </c>
      <c r="K46">
        <v>5400</v>
      </c>
      <c r="L46">
        <f>Table1[[#This Row],[Total]]-Table1[[#This Row],[PosAct]]</f>
        <v>2028200</v>
      </c>
      <c r="M46">
        <v>0</v>
      </c>
      <c r="N46">
        <f>Table1[[#This Row],[Total]]-Table1[[#This Row],[PosPre]]</f>
        <v>2033600</v>
      </c>
      <c r="O46">
        <v>0</v>
      </c>
      <c r="P46">
        <f>Table1[[#This Row],[PosPre]]-Table1[[#This Row],[TP]]</f>
        <v>0</v>
      </c>
      <c r="Q46">
        <f>Table1[[#This Row],[PosAct]]-Table1[[#This Row],[TP]]</f>
        <v>5400</v>
      </c>
      <c r="R46">
        <f>Table1[[#This Row],[NegAct]]-Table1[[#This Row],[FP]]</f>
        <v>2028200</v>
      </c>
      <c r="S46" t="str">
        <f>IF(SUM(Table1[[#This Row],[TP]:[TN]])=Table1[[#This Row],[Total]],"","ERROR")</f>
        <v/>
      </c>
      <c r="T46" s="1">
        <f>Table1[[#This Row],[FP]]/(Table1[[#This Row],[FP]]+Table1[[#This Row],[TN]])</f>
        <v>0</v>
      </c>
      <c r="U46" s="1">
        <f>1-Table1[[#This Row],[FPR]]</f>
        <v>1</v>
      </c>
      <c r="V46" s="1"/>
      <c r="W46" s="1"/>
      <c r="X46" s="1">
        <f>Table1[[#This Row],[FN]]/(Table1[[#This Row],[FN]]+Table1[[#This Row],[TP]])</f>
        <v>1</v>
      </c>
      <c r="Y46" s="1">
        <f>1-Table1[[#This Row],[FNR]]</f>
        <v>0</v>
      </c>
      <c r="Z46" s="1">
        <f>Table1[[#This Row],[TN]]/(Table1[[#This Row],[TN]]+Table1[[#This Row],[FN]])</f>
        <v>0.99734461054287959</v>
      </c>
      <c r="AA46" s="1">
        <f>1-Table1[[#This Row],[NPV]]</f>
        <v>2.6553894571204051E-3</v>
      </c>
      <c r="AB46" s="1"/>
      <c r="AC46" s="1">
        <f>Table1[[#This Row],[Sensitivity]]/Table1[[#This Row],[Specificity]]</f>
        <v>0</v>
      </c>
      <c r="AD46" s="1">
        <f>(Table1[[#This Row],[Sensitivity]]+Table1[[#This Row],[Specificity]])/2</f>
        <v>0.5</v>
      </c>
      <c r="AE46" s="1">
        <f>(0.95*Table1[[#This Row],[Specificity]]+0.8*Table1[[#This Row],[Sensitivity]])/SUM(0.95,0.8)</f>
        <v>0.54285714285714282</v>
      </c>
      <c r="AF46" s="1">
        <f>AVERAGE((Table1[[#This Row],[Specificity]]-0.95)^2,(Table1[[#This Row],[Sensitivity]]-0.8)^2)</f>
        <v>0.32125000000000009</v>
      </c>
      <c r="AG46" s="1"/>
      <c r="AH46" s="1"/>
      <c r="AI46" s="1">
        <f>Table1[[#This Row],[FNR]]/Table1[[#This Row],[Specificity]]</f>
        <v>1</v>
      </c>
      <c r="AJ46" s="1"/>
      <c r="AK46" s="1">
        <f>SQRT(Table1[[#This Row],[PPV]]*Table1[[#This Row],[Sensitivity]])</f>
        <v>0</v>
      </c>
      <c r="AL46" s="1">
        <f>SQRT(Table1[[#This Row],[Sensitivity]]*Table1[[#This Row],[Specificity]]*Table1[[#This Row],[PPV]]*Table1[[#This Row],[NPV]]) - SQRT(Table1[[#This Row],[FNR]]*Table1[[#This Row],[FPR]]*Table1[[#This Row],[FOR]]*Table1[[#This Row],[FDR]])</f>
        <v>0</v>
      </c>
      <c r="AM46" s="1">
        <f>Table1[[#This Row],[TP]]/(Table1[[#This Row],[TP]]+Table1[[#This Row],[FN]]+Table1[[#This Row],[FP]])</f>
        <v>0</v>
      </c>
      <c r="AN46" s="1">
        <f>Table1[[#This Row],[Specificity]]+Table1[[#This Row],[Sensitivity]]-1</f>
        <v>0</v>
      </c>
      <c r="AO46" s="4"/>
    </row>
    <row r="50" spans="13:19" x14ac:dyDescent="0.3">
      <c r="M50">
        <v>100666</v>
      </c>
      <c r="Q50">
        <v>956</v>
      </c>
    </row>
    <row r="51" spans="13:19" x14ac:dyDescent="0.3">
      <c r="M51">
        <v>67272</v>
      </c>
      <c r="N51">
        <f>($M$50-M51)/$M$50</f>
        <v>0.33173067371307097</v>
      </c>
      <c r="Q51">
        <v>970</v>
      </c>
      <c r="R51">
        <f>($Q$50-Q51)/$Q$50</f>
        <v>-1.4644351464435146E-2</v>
      </c>
      <c r="S51" s="3"/>
    </row>
    <row r="52" spans="13:19" x14ac:dyDescent="0.3">
      <c r="M52">
        <v>28440</v>
      </c>
      <c r="N52">
        <f>($M$50-M52)/$M$50</f>
        <v>0.71748157272564717</v>
      </c>
      <c r="Q52">
        <v>1081</v>
      </c>
      <c r="R52">
        <f>($Q$50-Q52)/$Q$50</f>
        <v>-0.1307531380753138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C40AB-4731-4863-98F2-3A439B778993}">
  <dimension ref="A1:Y56"/>
  <sheetViews>
    <sheetView zoomScale="85" zoomScaleNormal="85" workbookViewId="0">
      <selection activeCell="E24" sqref="E24"/>
    </sheetView>
  </sheetViews>
  <sheetFormatPr defaultRowHeight="14.4" x14ac:dyDescent="0.3"/>
  <cols>
    <col min="1" max="1" width="12.44140625" bestFit="1" customWidth="1"/>
    <col min="2" max="2" width="12.77734375" bestFit="1" customWidth="1"/>
    <col min="3" max="3" width="10.21875" bestFit="1" customWidth="1"/>
    <col min="4" max="4" width="10.44140625" bestFit="1" customWidth="1"/>
    <col min="5" max="5" width="12.77734375" bestFit="1" customWidth="1"/>
    <col min="6" max="6" width="13.88671875" bestFit="1" customWidth="1"/>
    <col min="9" max="9" width="8.109375" customWidth="1"/>
    <col min="10" max="10" width="7.6640625" customWidth="1"/>
    <col min="11" max="11" width="15" bestFit="1" customWidth="1"/>
    <col min="12" max="12" width="6.5546875" bestFit="1" customWidth="1"/>
    <col min="13" max="13" width="7.109375" bestFit="1" customWidth="1"/>
    <col min="14" max="15" width="9.21875" customWidth="1"/>
    <col min="20" max="20" width="12" bestFit="1" customWidth="1"/>
    <col min="21" max="21" width="5.21875" bestFit="1" customWidth="1"/>
  </cols>
  <sheetData>
    <row r="1" spans="1:21" x14ac:dyDescent="0.3">
      <c r="A1" s="5" t="s">
        <v>3</v>
      </c>
      <c r="B1" s="8">
        <v>150</v>
      </c>
    </row>
    <row r="3" spans="1:21" x14ac:dyDescent="0.3">
      <c r="A3" s="5" t="s">
        <v>90</v>
      </c>
      <c r="B3" t="s">
        <v>92</v>
      </c>
      <c r="C3" t="s">
        <v>93</v>
      </c>
      <c r="D3" t="s">
        <v>94</v>
      </c>
      <c r="E3" t="s">
        <v>95</v>
      </c>
      <c r="F3" t="s">
        <v>96</v>
      </c>
    </row>
    <row r="4" spans="1:21" ht="28.8" x14ac:dyDescent="0.3">
      <c r="A4" s="6">
        <v>0.54647760000000001</v>
      </c>
      <c r="B4">
        <v>230300</v>
      </c>
      <c r="C4" s="1">
        <v>0.10345330835223351</v>
      </c>
      <c r="D4" s="1">
        <v>1.2081481481481482</v>
      </c>
      <c r="E4" s="1">
        <v>4.344199271749809</v>
      </c>
      <c r="F4" s="1">
        <v>3.6883985434996185</v>
      </c>
      <c r="I4" s="11" t="s">
        <v>97</v>
      </c>
      <c r="J4" s="11" t="s">
        <v>98</v>
      </c>
      <c r="K4" s="11" t="s">
        <v>99</v>
      </c>
      <c r="L4" s="11" t="s">
        <v>67</v>
      </c>
      <c r="M4" s="11" t="s">
        <v>69</v>
      </c>
      <c r="N4" s="11" t="s">
        <v>100</v>
      </c>
      <c r="O4" s="12" t="s">
        <v>101</v>
      </c>
    </row>
    <row r="5" spans="1:21" x14ac:dyDescent="0.3">
      <c r="A5" s="7">
        <v>1</v>
      </c>
      <c r="B5">
        <v>105110</v>
      </c>
      <c r="C5" s="1">
        <v>4.9633172270979194E-2</v>
      </c>
      <c r="D5" s="1">
        <v>0.17703703703703705</v>
      </c>
      <c r="E5" s="1">
        <v>0.88666489534599191</v>
      </c>
      <c r="F5" s="1">
        <v>0.77332979069198382</v>
      </c>
      <c r="I5" s="1">
        <f>A$4</f>
        <v>0.54647760000000001</v>
      </c>
      <c r="J5">
        <f>A5</f>
        <v>1</v>
      </c>
      <c r="K5">
        <f>B5</f>
        <v>105110</v>
      </c>
      <c r="L5" s="13">
        <f t="shared" ref="L5:O5" si="0">C5</f>
        <v>4.9633172270979194E-2</v>
      </c>
      <c r="M5" s="13">
        <f t="shared" si="0"/>
        <v>0.17703703703703705</v>
      </c>
      <c r="N5" s="9">
        <f t="shared" si="0"/>
        <v>0.88666489534599191</v>
      </c>
      <c r="O5" s="13">
        <f t="shared" si="0"/>
        <v>0.77332979069198382</v>
      </c>
    </row>
    <row r="6" spans="1:21" x14ac:dyDescent="0.3">
      <c r="A6" s="7">
        <v>8</v>
      </c>
      <c r="B6">
        <v>71702</v>
      </c>
      <c r="C6" s="1">
        <v>3.3168326595010351E-2</v>
      </c>
      <c r="D6" s="1">
        <v>0.17962962962962964</v>
      </c>
      <c r="E6" s="1">
        <v>0.89360102188767998</v>
      </c>
      <c r="F6" s="1">
        <v>0.78720204377535996</v>
      </c>
      <c r="I6" s="1">
        <f t="shared" ref="I6:I9" si="1">A$4</f>
        <v>0.54647760000000001</v>
      </c>
      <c r="J6">
        <f t="shared" ref="J6:J9" si="2">A6</f>
        <v>8</v>
      </c>
      <c r="K6">
        <f t="shared" ref="K6:K9" si="3">B6</f>
        <v>71702</v>
      </c>
      <c r="L6" s="13">
        <f t="shared" ref="L6:L9" si="4">C6</f>
        <v>3.3168326595010351E-2</v>
      </c>
      <c r="M6" s="13">
        <f t="shared" ref="M6:M9" si="5">D6</f>
        <v>0.17962962962962964</v>
      </c>
      <c r="N6" s="9">
        <f t="shared" ref="N6:N9" si="6">E6</f>
        <v>0.89360102188767998</v>
      </c>
      <c r="O6" s="13">
        <f t="shared" ref="O6:O9" si="7">F6</f>
        <v>0.78720204377535996</v>
      </c>
    </row>
    <row r="7" spans="1:21" x14ac:dyDescent="0.3">
      <c r="A7" s="7">
        <v>27</v>
      </c>
      <c r="B7">
        <v>32759</v>
      </c>
      <c r="C7" s="1">
        <v>1.4022285770634059E-2</v>
      </c>
      <c r="D7" s="1">
        <v>0.20018518518518519</v>
      </c>
      <c r="E7" s="1">
        <v>0.89289626452209037</v>
      </c>
      <c r="F7" s="1">
        <v>0.78579252904418073</v>
      </c>
      <c r="I7" s="1">
        <f t="shared" si="1"/>
        <v>0.54647760000000001</v>
      </c>
      <c r="J7">
        <f t="shared" si="2"/>
        <v>27</v>
      </c>
      <c r="K7">
        <f t="shared" si="3"/>
        <v>32759</v>
      </c>
      <c r="L7" s="13">
        <f t="shared" si="4"/>
        <v>1.4022285770634059E-2</v>
      </c>
      <c r="M7" s="13">
        <f t="shared" si="5"/>
        <v>0.20018518518518519</v>
      </c>
      <c r="N7" s="9">
        <f t="shared" si="6"/>
        <v>0.89289626452209037</v>
      </c>
      <c r="O7" s="13">
        <f t="shared" si="7"/>
        <v>0.78579252904418073</v>
      </c>
      <c r="U7" s="21"/>
    </row>
    <row r="8" spans="1:21" x14ac:dyDescent="0.3">
      <c r="A8" s="7">
        <v>64</v>
      </c>
      <c r="B8">
        <v>13435</v>
      </c>
      <c r="C8" s="1">
        <v>4.6642342964204712E-3</v>
      </c>
      <c r="D8" s="1">
        <v>0.2638888888888889</v>
      </c>
      <c r="E8" s="1">
        <v>0.86572343840734534</v>
      </c>
      <c r="F8" s="1">
        <v>0.73144687681469067</v>
      </c>
      <c r="I8" s="1">
        <f t="shared" si="1"/>
        <v>0.54647760000000001</v>
      </c>
      <c r="J8">
        <f t="shared" si="2"/>
        <v>64</v>
      </c>
      <c r="K8">
        <f t="shared" si="3"/>
        <v>13435</v>
      </c>
      <c r="L8" s="13">
        <f t="shared" si="4"/>
        <v>4.6642342964204712E-3</v>
      </c>
      <c r="M8" s="13">
        <f t="shared" si="5"/>
        <v>0.2638888888888889</v>
      </c>
      <c r="N8" s="9">
        <f t="shared" si="6"/>
        <v>0.86572343840734534</v>
      </c>
      <c r="O8" s="13">
        <f t="shared" si="7"/>
        <v>0.73144687681469067</v>
      </c>
      <c r="U8" s="21"/>
    </row>
    <row r="9" spans="1:21" x14ac:dyDescent="0.3">
      <c r="A9" s="7">
        <v>125</v>
      </c>
      <c r="B9">
        <v>7294</v>
      </c>
      <c r="C9" s="1">
        <v>1.9652894191894291E-3</v>
      </c>
      <c r="D9" s="1">
        <v>0.38740740740740742</v>
      </c>
      <c r="E9" s="1">
        <v>0.80531365158670165</v>
      </c>
      <c r="F9" s="1">
        <v>0.6106273031734033</v>
      </c>
      <c r="I9" s="1">
        <f t="shared" si="1"/>
        <v>0.54647760000000001</v>
      </c>
      <c r="J9">
        <f t="shared" si="2"/>
        <v>125</v>
      </c>
      <c r="K9">
        <f t="shared" si="3"/>
        <v>7294</v>
      </c>
      <c r="L9" s="13">
        <f t="shared" si="4"/>
        <v>1.9652894191894291E-3</v>
      </c>
      <c r="M9" s="13">
        <f t="shared" si="5"/>
        <v>0.38740740740740742</v>
      </c>
      <c r="N9" s="9">
        <f t="shared" si="6"/>
        <v>0.80531365158670165</v>
      </c>
      <c r="O9" s="13">
        <f t="shared" si="7"/>
        <v>0.6106273031734033</v>
      </c>
      <c r="U9" s="21"/>
    </row>
    <row r="10" spans="1:21" x14ac:dyDescent="0.3">
      <c r="A10" s="6">
        <v>0.8061161</v>
      </c>
      <c r="B10">
        <v>37325</v>
      </c>
      <c r="C10" s="1">
        <v>1.4055813036189725E-2</v>
      </c>
      <c r="D10" s="1">
        <v>3.3672222222222223</v>
      </c>
      <c r="E10" s="1">
        <v>3.3093609823707939</v>
      </c>
      <c r="F10" s="1">
        <v>1.618721964741588</v>
      </c>
      <c r="I10" s="1">
        <f>A$10</f>
        <v>0.8061161</v>
      </c>
      <c r="J10">
        <v>1</v>
      </c>
      <c r="K10">
        <f t="shared" ref="K10:O14" si="8">B11</f>
        <v>25206</v>
      </c>
      <c r="L10" s="13">
        <f t="shared" si="8"/>
        <v>1.1299181540282024E-2</v>
      </c>
      <c r="M10" s="13">
        <f t="shared" si="8"/>
        <v>0.57611111111111113</v>
      </c>
      <c r="N10" s="9">
        <f t="shared" si="8"/>
        <v>0.70629485367430345</v>
      </c>
      <c r="O10" s="13">
        <f t="shared" si="8"/>
        <v>0.41258970734860689</v>
      </c>
      <c r="U10" s="21"/>
    </row>
    <row r="11" spans="1:21" x14ac:dyDescent="0.3">
      <c r="A11" s="7">
        <v>1</v>
      </c>
      <c r="B11">
        <v>25206</v>
      </c>
      <c r="C11" s="1">
        <v>1.1299181540282024E-2</v>
      </c>
      <c r="D11" s="1">
        <v>0.57611111111111113</v>
      </c>
      <c r="E11" s="1">
        <v>0.70629485367430345</v>
      </c>
      <c r="F11" s="1">
        <v>0.41258970734860689</v>
      </c>
      <c r="I11" s="1">
        <f t="shared" ref="I11:I14" si="9">A$10</f>
        <v>0.8061161</v>
      </c>
      <c r="J11">
        <v>8</v>
      </c>
      <c r="K11">
        <f t="shared" si="8"/>
        <v>6481</v>
      </c>
      <c r="L11" s="13">
        <f t="shared" si="8"/>
        <v>2.0934819051375603E-3</v>
      </c>
      <c r="M11" s="13">
        <f t="shared" si="8"/>
        <v>0.58611111111111114</v>
      </c>
      <c r="N11" s="9">
        <f t="shared" si="8"/>
        <v>0.70589770349187564</v>
      </c>
      <c r="O11" s="13">
        <f t="shared" si="8"/>
        <v>0.41179540698375128</v>
      </c>
      <c r="U11" s="21"/>
    </row>
    <row r="12" spans="1:21" x14ac:dyDescent="0.3">
      <c r="A12" s="7">
        <v>8</v>
      </c>
      <c r="B12">
        <v>6481</v>
      </c>
      <c r="C12" s="1">
        <v>2.0934819051375603E-3</v>
      </c>
      <c r="D12" s="1">
        <v>0.58611111111111114</v>
      </c>
      <c r="E12" s="1">
        <v>0.70589770349187564</v>
      </c>
      <c r="F12" s="1">
        <v>0.41179540698375128</v>
      </c>
      <c r="I12" s="1">
        <f t="shared" si="9"/>
        <v>0.8061161</v>
      </c>
      <c r="J12">
        <v>27</v>
      </c>
      <c r="K12">
        <f t="shared" si="8"/>
        <v>2685</v>
      </c>
      <c r="L12" s="13">
        <f t="shared" si="8"/>
        <v>3.4365447194556752E-4</v>
      </c>
      <c r="M12" s="13">
        <f t="shared" si="8"/>
        <v>0.63185185185185189</v>
      </c>
      <c r="N12" s="9">
        <f t="shared" si="8"/>
        <v>0.6839022468381013</v>
      </c>
      <c r="O12" s="13">
        <f t="shared" si="8"/>
        <v>0.3678044936762026</v>
      </c>
      <c r="U12" s="21"/>
    </row>
    <row r="13" spans="1:21" x14ac:dyDescent="0.3">
      <c r="A13" s="7">
        <v>27</v>
      </c>
      <c r="B13">
        <v>2685</v>
      </c>
      <c r="C13" s="1">
        <v>3.4365447194556752E-4</v>
      </c>
      <c r="D13" s="1">
        <v>0.63185185185185189</v>
      </c>
      <c r="E13" s="1">
        <v>0.6839022468381013</v>
      </c>
      <c r="F13" s="1">
        <v>0.3678044936762026</v>
      </c>
      <c r="I13" s="1">
        <f t="shared" si="9"/>
        <v>0.8061161</v>
      </c>
      <c r="J13">
        <v>64</v>
      </c>
      <c r="K13">
        <f t="shared" si="8"/>
        <v>1998</v>
      </c>
      <c r="L13" s="13">
        <f t="shared" si="8"/>
        <v>2.3271866679814613E-4</v>
      </c>
      <c r="M13" s="13">
        <f t="shared" si="8"/>
        <v>0.71740740740740738</v>
      </c>
      <c r="N13" s="9">
        <f t="shared" si="8"/>
        <v>0.64117993696289721</v>
      </c>
      <c r="O13" s="13">
        <f t="shared" si="8"/>
        <v>0.28235987392579442</v>
      </c>
      <c r="U13" s="21"/>
    </row>
    <row r="14" spans="1:21" x14ac:dyDescent="0.3">
      <c r="A14" s="7">
        <v>64</v>
      </c>
      <c r="B14">
        <v>1998</v>
      </c>
      <c r="C14" s="1">
        <v>2.3271866679814613E-4</v>
      </c>
      <c r="D14" s="1">
        <v>0.71740740740740738</v>
      </c>
      <c r="E14" s="1">
        <v>0.64117993696289721</v>
      </c>
      <c r="F14" s="1">
        <v>0.28235987392579442</v>
      </c>
      <c r="I14" s="1">
        <f t="shared" si="9"/>
        <v>0.8061161</v>
      </c>
      <c r="J14">
        <v>125</v>
      </c>
      <c r="K14">
        <f t="shared" si="8"/>
        <v>955</v>
      </c>
      <c r="L14" s="13">
        <f t="shared" si="8"/>
        <v>8.6776452026427367E-5</v>
      </c>
      <c r="M14" s="13">
        <f t="shared" si="8"/>
        <v>0.85574074074074069</v>
      </c>
      <c r="N14" s="9">
        <f t="shared" si="8"/>
        <v>0.57208624140361641</v>
      </c>
      <c r="O14" s="13">
        <f t="shared" si="8"/>
        <v>0.14417248280723283</v>
      </c>
      <c r="U14" s="21"/>
    </row>
    <row r="15" spans="1:21" x14ac:dyDescent="0.3">
      <c r="A15" s="7">
        <v>125</v>
      </c>
      <c r="B15">
        <v>955</v>
      </c>
      <c r="C15" s="1">
        <v>8.6776452026427367E-5</v>
      </c>
      <c r="D15" s="1">
        <v>0.85574074074074069</v>
      </c>
      <c r="E15" s="1">
        <v>0.57208624140361641</v>
      </c>
      <c r="F15" s="1">
        <v>0.14417248280723283</v>
      </c>
      <c r="I15" s="1">
        <f>A$16</f>
        <v>0.94959170000000004</v>
      </c>
      <c r="J15">
        <v>1</v>
      </c>
      <c r="K15">
        <f t="shared" ref="K15:O19" si="10">B17</f>
        <v>10643</v>
      </c>
      <c r="L15" s="13">
        <f t="shared" si="10"/>
        <v>4.9008973474016365E-3</v>
      </c>
      <c r="M15" s="13">
        <f t="shared" si="10"/>
        <v>0.86981481481481482</v>
      </c>
      <c r="N15" s="9">
        <f t="shared" si="10"/>
        <v>0.56264214391889178</v>
      </c>
      <c r="O15" s="13">
        <f t="shared" si="10"/>
        <v>0.12528428783778356</v>
      </c>
      <c r="U15" s="21"/>
    </row>
    <row r="16" spans="1:21" x14ac:dyDescent="0.3">
      <c r="A16" s="6">
        <v>0.94959170000000004</v>
      </c>
      <c r="B16">
        <v>12875</v>
      </c>
      <c r="C16" s="1">
        <v>5.3490780001972183E-3</v>
      </c>
      <c r="D16" s="1">
        <v>4.6248148148148145</v>
      </c>
      <c r="E16" s="1">
        <v>2.6849180535924937</v>
      </c>
      <c r="F16" s="1">
        <v>0.36983610718498783</v>
      </c>
      <c r="I16" s="1">
        <f t="shared" ref="I16:I19" si="11">A$16</f>
        <v>0.94959170000000004</v>
      </c>
      <c r="J16">
        <v>8</v>
      </c>
      <c r="K16">
        <f t="shared" si="10"/>
        <v>1368</v>
      </c>
      <c r="L16" s="13">
        <f t="shared" si="10"/>
        <v>3.5400848042599348E-4</v>
      </c>
      <c r="M16" s="13">
        <f t="shared" si="10"/>
        <v>0.87962962962962965</v>
      </c>
      <c r="N16" s="9">
        <f t="shared" si="10"/>
        <v>0.56000818094497218</v>
      </c>
      <c r="O16" s="13">
        <f t="shared" si="10"/>
        <v>0.12001636188994436</v>
      </c>
      <c r="U16" s="21"/>
    </row>
    <row r="17" spans="1:25" x14ac:dyDescent="0.3">
      <c r="A17" s="7">
        <v>1</v>
      </c>
      <c r="B17">
        <v>10643</v>
      </c>
      <c r="C17" s="1">
        <v>4.9008973474016365E-3</v>
      </c>
      <c r="D17" s="1">
        <v>0.86981481481481482</v>
      </c>
      <c r="E17" s="1">
        <v>0.56264214391889178</v>
      </c>
      <c r="F17" s="1">
        <v>0.12528428783778356</v>
      </c>
      <c r="I17" s="1">
        <f t="shared" si="11"/>
        <v>0.94959170000000004</v>
      </c>
      <c r="J17">
        <v>27</v>
      </c>
      <c r="K17">
        <f t="shared" si="10"/>
        <v>657</v>
      </c>
      <c r="L17" s="13">
        <f t="shared" si="10"/>
        <v>7.3957203431614243E-5</v>
      </c>
      <c r="M17" s="13">
        <f t="shared" si="10"/>
        <v>0.90611111111111109</v>
      </c>
      <c r="N17" s="9">
        <f t="shared" si="10"/>
        <v>0.54690746584272865</v>
      </c>
      <c r="O17" s="13">
        <f t="shared" si="10"/>
        <v>9.3814931685457292E-2</v>
      </c>
      <c r="U17" s="21"/>
    </row>
    <row r="18" spans="1:25" x14ac:dyDescent="0.3">
      <c r="A18" s="7">
        <v>8</v>
      </c>
      <c r="B18">
        <v>1368</v>
      </c>
      <c r="C18" s="1">
        <v>3.5400848042599348E-4</v>
      </c>
      <c r="D18" s="1">
        <v>0.87962962962962965</v>
      </c>
      <c r="E18" s="1">
        <v>0.56000818094497218</v>
      </c>
      <c r="F18" s="1">
        <v>0.12001636188994436</v>
      </c>
      <c r="I18" s="1">
        <f t="shared" si="11"/>
        <v>0.94959170000000004</v>
      </c>
      <c r="J18">
        <v>64</v>
      </c>
      <c r="K18">
        <f t="shared" si="10"/>
        <v>207</v>
      </c>
      <c r="L18" s="13">
        <f t="shared" si="10"/>
        <v>2.021496893797456E-5</v>
      </c>
      <c r="M18" s="13">
        <f t="shared" si="10"/>
        <v>0.96925925925925926</v>
      </c>
      <c r="N18" s="9">
        <f t="shared" si="10"/>
        <v>0.51536026288590131</v>
      </c>
      <c r="O18" s="13">
        <f t="shared" si="10"/>
        <v>3.072052577180262E-2</v>
      </c>
      <c r="U18" s="21"/>
    </row>
    <row r="19" spans="1:25" x14ac:dyDescent="0.3">
      <c r="A19" s="7">
        <v>27</v>
      </c>
      <c r="B19">
        <v>657</v>
      </c>
      <c r="C19" s="1">
        <v>7.3957203431614243E-5</v>
      </c>
      <c r="D19" s="1">
        <v>0.90611111111111109</v>
      </c>
      <c r="E19" s="1">
        <v>0.54690746584272865</v>
      </c>
      <c r="F19" s="1">
        <v>9.3814931685457292E-2</v>
      </c>
      <c r="I19" s="1">
        <f t="shared" si="11"/>
        <v>0.94959170000000004</v>
      </c>
      <c r="J19">
        <v>125</v>
      </c>
      <c r="K19">
        <f t="shared" si="10"/>
        <v>0</v>
      </c>
      <c r="L19" s="13">
        <f t="shared" si="10"/>
        <v>0</v>
      </c>
      <c r="M19" s="13">
        <f t="shared" si="10"/>
        <v>1</v>
      </c>
      <c r="N19" s="9">
        <f t="shared" si="10"/>
        <v>0.5</v>
      </c>
      <c r="O19" s="13">
        <f t="shared" si="10"/>
        <v>0</v>
      </c>
      <c r="U19" s="21"/>
    </row>
    <row r="20" spans="1:25" x14ac:dyDescent="0.3">
      <c r="A20" s="7">
        <v>64</v>
      </c>
      <c r="B20">
        <v>207</v>
      </c>
      <c r="C20" s="1">
        <v>2.021496893797456E-5</v>
      </c>
      <c r="D20" s="1">
        <v>0.96925925925925926</v>
      </c>
      <c r="E20" s="1">
        <v>0.51536026288590131</v>
      </c>
      <c r="F20" s="1">
        <v>3.072052577180262E-2</v>
      </c>
    </row>
    <row r="21" spans="1:25" x14ac:dyDescent="0.3">
      <c r="A21" s="7">
        <v>125</v>
      </c>
      <c r="B21">
        <v>0</v>
      </c>
      <c r="C21" s="1">
        <v>0</v>
      </c>
      <c r="D21" s="1">
        <v>1</v>
      </c>
      <c r="E21" s="1">
        <v>0.5</v>
      </c>
      <c r="F21" s="1">
        <v>0</v>
      </c>
    </row>
    <row r="22" spans="1:25" x14ac:dyDescent="0.3">
      <c r="A22" s="6" t="s">
        <v>91</v>
      </c>
      <c r="B22">
        <v>280500</v>
      </c>
      <c r="C22" s="1">
        <v>0.12285819938862046</v>
      </c>
      <c r="D22" s="1">
        <v>9.2001851851851839</v>
      </c>
      <c r="E22" s="1">
        <v>10.338478307713098</v>
      </c>
      <c r="F22" s="1">
        <v>5.6769566154261932</v>
      </c>
    </row>
    <row r="23" spans="1:25" x14ac:dyDescent="0.3">
      <c r="S23" t="s">
        <v>119</v>
      </c>
    </row>
    <row r="24" spans="1:25" ht="28.8" x14ac:dyDescent="0.3">
      <c r="K24" t="s">
        <v>63</v>
      </c>
      <c r="L24" t="s">
        <v>64</v>
      </c>
      <c r="M24" t="s">
        <v>111</v>
      </c>
      <c r="O24" t="s">
        <v>67</v>
      </c>
      <c r="P24" t="s">
        <v>69</v>
      </c>
      <c r="Q24" t="s">
        <v>111</v>
      </c>
      <c r="S24" s="11" t="s">
        <v>107</v>
      </c>
      <c r="T24" s="11" t="s">
        <v>110</v>
      </c>
      <c r="V24" t="s">
        <v>118</v>
      </c>
    </row>
    <row r="25" spans="1:25" x14ac:dyDescent="0.3">
      <c r="I25">
        <v>0.54647760000000001</v>
      </c>
      <c r="J25">
        <v>1</v>
      </c>
      <c r="K25">
        <v>100666</v>
      </c>
      <c r="L25">
        <v>956</v>
      </c>
      <c r="O25">
        <v>4.9633172270979194E-2</v>
      </c>
      <c r="P25">
        <v>0.17703703703703705</v>
      </c>
      <c r="S25">
        <v>0</v>
      </c>
      <c r="T25">
        <v>0</v>
      </c>
    </row>
    <row r="26" spans="1:25" x14ac:dyDescent="0.3">
      <c r="I26">
        <v>0.54647760000000001</v>
      </c>
      <c r="J26">
        <v>8</v>
      </c>
      <c r="K26">
        <v>67272</v>
      </c>
      <c r="L26">
        <v>970</v>
      </c>
      <c r="M26" s="15">
        <f>($K$25-K26)/(L26-$L$25)</f>
        <v>2385.2857142857142</v>
      </c>
      <c r="O26">
        <v>3.3168326595010351E-2</v>
      </c>
      <c r="P26">
        <v>0.17962962962962964</v>
      </c>
      <c r="Q26" s="15">
        <f t="shared" ref="Q26:Q39" si="12">($O$25-O26)/(P26-$P$25)</f>
        <v>6.3507261893022724</v>
      </c>
      <c r="S26" s="9">
        <v>1.4644351464435146E-2</v>
      </c>
      <c r="T26" s="9">
        <v>0.31783845495195501</v>
      </c>
      <c r="V26" s="22">
        <f>T26/S26</f>
        <v>21.70382592386207</v>
      </c>
      <c r="X26">
        <f>($K$25-K26)/$K$25</f>
        <v>0.33173067371307097</v>
      </c>
      <c r="Y26">
        <f>O43-X26</f>
        <v>0.60648583349732765</v>
      </c>
    </row>
    <row r="27" spans="1:25" x14ac:dyDescent="0.3">
      <c r="I27">
        <v>0.54647760000000001</v>
      </c>
      <c r="J27">
        <v>27</v>
      </c>
      <c r="K27">
        <v>28440</v>
      </c>
      <c r="L27">
        <v>1081</v>
      </c>
      <c r="M27">
        <f>($K$25-K27)/(L27-$L$25)</f>
        <v>577.80799999999999</v>
      </c>
      <c r="O27">
        <v>1.4022285770634059E-2</v>
      </c>
      <c r="P27">
        <v>0.20018518518518519</v>
      </c>
      <c r="Q27">
        <f t="shared" si="12"/>
        <v>1.5383902968149104</v>
      </c>
      <c r="S27" s="9">
        <v>0.1307531380753138</v>
      </c>
      <c r="T27" s="9">
        <v>0.68833602892208168</v>
      </c>
      <c r="V27" s="21">
        <f t="shared" ref="V27:V39" si="13">T27/S27</f>
        <v>5.2643939491960809</v>
      </c>
      <c r="X27">
        <f t="shared" ref="X27:X39" si="14">($K$25-K27)/$K$25</f>
        <v>0.71748157272564717</v>
      </c>
      <c r="Y27">
        <f t="shared" ref="Y27:Y39" si="15">O44-X27</f>
        <v>0.15067679596692585</v>
      </c>
    </row>
    <row r="28" spans="1:25" x14ac:dyDescent="0.3">
      <c r="I28">
        <v>0.54647760000000001</v>
      </c>
      <c r="J28">
        <v>64</v>
      </c>
      <c r="K28">
        <v>9460</v>
      </c>
      <c r="L28">
        <v>1425</v>
      </c>
      <c r="M28">
        <f t="shared" ref="M28:M39" si="16">($K$25-K28)/(L28-$L$25)</f>
        <v>194.46908315565031</v>
      </c>
      <c r="O28">
        <v>4.6642342964204712E-3</v>
      </c>
      <c r="P28">
        <v>0.2638888888888889</v>
      </c>
      <c r="Q28">
        <f t="shared" si="12"/>
        <v>0.51776602358766977</v>
      </c>
      <c r="S28" s="9">
        <v>0.4905857740585774</v>
      </c>
      <c r="T28" s="9">
        <v>0.87218152411759109</v>
      </c>
      <c r="V28" s="21">
        <f t="shared" si="13"/>
        <v>1.7778369660051538</v>
      </c>
      <c r="X28">
        <f t="shared" si="14"/>
        <v>0.90602586772097826</v>
      </c>
      <c r="Y28">
        <f t="shared" si="15"/>
        <v>-0.20189486660449152</v>
      </c>
    </row>
    <row r="29" spans="1:25" x14ac:dyDescent="0.3">
      <c r="I29">
        <v>0.54647760000000001</v>
      </c>
      <c r="J29">
        <v>125</v>
      </c>
      <c r="K29">
        <v>3986</v>
      </c>
      <c r="L29">
        <v>2092</v>
      </c>
      <c r="M29">
        <f t="shared" si="16"/>
        <v>85.105633802816897</v>
      </c>
      <c r="O29">
        <v>1.9652894191894291E-3</v>
      </c>
      <c r="P29">
        <v>0.38740740740740742</v>
      </c>
      <c r="Q29">
        <f t="shared" si="12"/>
        <v>0.22659028820393021</v>
      </c>
      <c r="S29" s="9">
        <v>1.1882845188284519</v>
      </c>
      <c r="T29" s="9">
        <v>0.93060603177623447</v>
      </c>
      <c r="V29" s="21">
        <f t="shared" si="13"/>
        <v>0.78315085068492973</v>
      </c>
      <c r="X29">
        <f t="shared" si="14"/>
        <v>0.96040371128285618</v>
      </c>
      <c r="Y29">
        <f t="shared" si="15"/>
        <v>-0.41392715520937107</v>
      </c>
    </row>
    <row r="30" spans="1:25" x14ac:dyDescent="0.3">
      <c r="I30">
        <v>0.8061161</v>
      </c>
      <c r="J30">
        <v>1</v>
      </c>
      <c r="K30">
        <v>22917</v>
      </c>
      <c r="L30">
        <v>3111</v>
      </c>
      <c r="M30">
        <f t="shared" si="16"/>
        <v>36.078422273781904</v>
      </c>
      <c r="O30">
        <v>1.1299181540282024E-2</v>
      </c>
      <c r="P30">
        <v>0.57611111111111113</v>
      </c>
      <c r="Q30">
        <f t="shared" si="12"/>
        <v>9.6057331761375736E-2</v>
      </c>
      <c r="S30" s="9">
        <v>2.25418410041841</v>
      </c>
      <c r="T30" s="9">
        <v>0.76019408238987729</v>
      </c>
      <c r="V30" s="21">
        <f t="shared" si="13"/>
        <v>0.33723691079569501</v>
      </c>
      <c r="X30">
        <f t="shared" si="14"/>
        <v>0.77234617447797671</v>
      </c>
      <c r="Y30">
        <f t="shared" si="15"/>
        <v>0.13684211402476076</v>
      </c>
    </row>
    <row r="31" spans="1:25" x14ac:dyDescent="0.3">
      <c r="I31">
        <v>0.8061161</v>
      </c>
      <c r="J31">
        <v>8</v>
      </c>
      <c r="K31">
        <v>4246</v>
      </c>
      <c r="L31">
        <v>3165</v>
      </c>
      <c r="M31">
        <f t="shared" si="16"/>
        <v>43.648709823449522</v>
      </c>
      <c r="O31">
        <v>2.0934819051375603E-3</v>
      </c>
      <c r="P31">
        <v>0.58611111111111114</v>
      </c>
      <c r="Q31">
        <f t="shared" si="12"/>
        <v>0.11621291442985278</v>
      </c>
      <c r="S31" s="9">
        <v>2.3106694560669454</v>
      </c>
      <c r="T31" s="9">
        <v>0.93834078584340219</v>
      </c>
      <c r="V31" s="21">
        <f t="shared" si="13"/>
        <v>0.40609044421289842</v>
      </c>
      <c r="X31">
        <f t="shared" si="14"/>
        <v>0.95782091272127634</v>
      </c>
      <c r="Y31">
        <f t="shared" si="15"/>
        <v>-0.30267510188961455</v>
      </c>
    </row>
    <row r="32" spans="1:25" x14ac:dyDescent="0.3">
      <c r="I32">
        <v>0.8061161</v>
      </c>
      <c r="J32">
        <v>27</v>
      </c>
      <c r="K32">
        <v>697</v>
      </c>
      <c r="L32">
        <v>3412</v>
      </c>
      <c r="M32">
        <f t="shared" si="16"/>
        <v>40.703990228013026</v>
      </c>
      <c r="O32">
        <v>3.4365447194556752E-4</v>
      </c>
      <c r="P32">
        <v>0.63185185185185189</v>
      </c>
      <c r="Q32">
        <f t="shared" si="12"/>
        <v>0.10837271828777752</v>
      </c>
      <c r="S32" s="9">
        <v>2.5690376569037658</v>
      </c>
      <c r="T32" s="9">
        <v>0.97445533250880034</v>
      </c>
      <c r="V32" s="21">
        <f t="shared" si="13"/>
        <v>0.37930753170945158</v>
      </c>
      <c r="X32">
        <f t="shared" si="14"/>
        <v>0.99307611308684163</v>
      </c>
      <c r="Y32">
        <f t="shared" si="15"/>
        <v>-0.7334857965132846</v>
      </c>
    </row>
    <row r="33" spans="9:25" x14ac:dyDescent="0.3">
      <c r="I33">
        <v>0.8061161</v>
      </c>
      <c r="J33">
        <v>64</v>
      </c>
      <c r="K33">
        <v>472</v>
      </c>
      <c r="L33">
        <v>3874</v>
      </c>
      <c r="M33">
        <f t="shared" si="16"/>
        <v>34.336531871144622</v>
      </c>
      <c r="O33">
        <v>2.3271866679814613E-4</v>
      </c>
      <c r="P33">
        <v>0.71740740740740738</v>
      </c>
      <c r="Q33">
        <f t="shared" si="12"/>
        <v>9.1419619418292547E-2</v>
      </c>
      <c r="S33" s="9">
        <v>3.0523012552301254</v>
      </c>
      <c r="T33" s="9">
        <v>0.98099134240319663</v>
      </c>
      <c r="V33" s="21">
        <f t="shared" si="13"/>
        <v>0.32139401073936119</v>
      </c>
      <c r="X33">
        <f t="shared" si="14"/>
        <v>0.99531122722667043</v>
      </c>
      <c r="Y33">
        <f t="shared" si="15"/>
        <v>-0.75907499099043418</v>
      </c>
    </row>
    <row r="34" spans="9:25" x14ac:dyDescent="0.3">
      <c r="I34">
        <v>0.8061161</v>
      </c>
      <c r="J34">
        <v>125</v>
      </c>
      <c r="K34">
        <v>176</v>
      </c>
      <c r="L34">
        <v>4621</v>
      </c>
      <c r="M34">
        <f t="shared" si="16"/>
        <v>27.418826739427011</v>
      </c>
      <c r="O34">
        <v>8.6776452026427367E-5</v>
      </c>
      <c r="P34">
        <v>0.85574074074074069</v>
      </c>
      <c r="Q34">
        <f t="shared" si="12"/>
        <v>7.3001510892863566E-2</v>
      </c>
      <c r="S34" s="9">
        <v>3.8336820083682008</v>
      </c>
      <c r="T34" s="9">
        <v>0.99091428027780426</v>
      </c>
      <c r="V34" s="21">
        <f t="shared" si="13"/>
        <v>0.2584758668337192</v>
      </c>
      <c r="X34">
        <f t="shared" si="14"/>
        <v>0.99825164405062283</v>
      </c>
      <c r="Y34">
        <f t="shared" si="15"/>
        <v>-0.81395845033334535</v>
      </c>
    </row>
    <row r="35" spans="9:25" x14ac:dyDescent="0.3">
      <c r="I35">
        <v>0.94959170000000004</v>
      </c>
      <c r="J35">
        <v>1</v>
      </c>
      <c r="K35">
        <v>9940</v>
      </c>
      <c r="L35">
        <v>4697</v>
      </c>
      <c r="M35">
        <f t="shared" si="16"/>
        <v>24.251804330392943</v>
      </c>
      <c r="O35">
        <v>4.9008973474016365E-3</v>
      </c>
      <c r="P35">
        <v>0.86981481481481482</v>
      </c>
      <c r="Q35">
        <f t="shared" si="12"/>
        <v>6.4569442552076667E-2</v>
      </c>
      <c r="S35" s="9">
        <v>3.9131799163179917</v>
      </c>
      <c r="T35" s="9">
        <v>0.89874417277138241</v>
      </c>
      <c r="V35" s="21">
        <f t="shared" si="13"/>
        <v>0.22967105831848211</v>
      </c>
      <c r="X35">
        <f t="shared" si="14"/>
        <v>0.90125762422267697</v>
      </c>
      <c r="Y35">
        <f t="shared" si="15"/>
        <v>3.2689571116982896E-2</v>
      </c>
    </row>
    <row r="36" spans="9:25" x14ac:dyDescent="0.3">
      <c r="I36">
        <v>0.94959170000000004</v>
      </c>
      <c r="J36">
        <v>8</v>
      </c>
      <c r="K36">
        <v>718</v>
      </c>
      <c r="L36">
        <v>4750</v>
      </c>
      <c r="M36">
        <f t="shared" si="16"/>
        <v>26.34370057986294</v>
      </c>
      <c r="O36">
        <v>3.5400848042599348E-4</v>
      </c>
      <c r="P36">
        <v>0.87962962962962965</v>
      </c>
      <c r="Q36">
        <f t="shared" si="12"/>
        <v>7.0139031225352463E-2</v>
      </c>
      <c r="S36" s="9">
        <v>3.9686192468619246</v>
      </c>
      <c r="T36" s="9">
        <v>0.9869850632670536</v>
      </c>
      <c r="V36" s="21">
        <f t="shared" si="13"/>
        <v>0.24869734330081794</v>
      </c>
      <c r="X36">
        <f t="shared" si="14"/>
        <v>0.99286750243379096</v>
      </c>
      <c r="Y36">
        <f t="shared" si="15"/>
        <v>-0.46801370126420028</v>
      </c>
    </row>
    <row r="37" spans="9:25" x14ac:dyDescent="0.3">
      <c r="I37">
        <v>0.94959170000000004</v>
      </c>
      <c r="J37">
        <v>27</v>
      </c>
      <c r="K37">
        <v>150</v>
      </c>
      <c r="L37">
        <v>4893</v>
      </c>
      <c r="M37">
        <f t="shared" si="16"/>
        <v>25.531115062230125</v>
      </c>
      <c r="O37">
        <v>7.3957203431614243E-5</v>
      </c>
      <c r="P37">
        <v>0.90611111111111109</v>
      </c>
      <c r="Q37">
        <f t="shared" si="12"/>
        <v>6.7975555337758953E-2</v>
      </c>
      <c r="S37" s="9">
        <v>4.1182008368200833</v>
      </c>
      <c r="T37" s="9">
        <v>0.99374940538483492</v>
      </c>
      <c r="V37" s="21">
        <f t="shared" si="13"/>
        <v>0.24130668822654364</v>
      </c>
      <c r="X37">
        <f t="shared" si="14"/>
        <v>0.99850992390678084</v>
      </c>
      <c r="Y37">
        <f t="shared" si="15"/>
        <v>-0.77019942162367583</v>
      </c>
    </row>
    <row r="38" spans="9:25" x14ac:dyDescent="0.3">
      <c r="I38">
        <v>0.94959170000000004</v>
      </c>
      <c r="J38">
        <v>64</v>
      </c>
      <c r="K38">
        <v>41</v>
      </c>
      <c r="L38">
        <v>5234</v>
      </c>
      <c r="M38">
        <f t="shared" si="16"/>
        <v>23.521505376344088</v>
      </c>
      <c r="O38">
        <v>2.021496893797456E-5</v>
      </c>
      <c r="P38">
        <v>0.96925925925925926</v>
      </c>
      <c r="Q38">
        <f t="shared" si="12"/>
        <v>6.2625051292899164E-2</v>
      </c>
      <c r="S38" s="9">
        <v>4.47489539748954</v>
      </c>
      <c r="T38" s="9">
        <v>0.99803063457330421</v>
      </c>
      <c r="V38" s="21">
        <f t="shared" si="13"/>
        <v>0.22302881875925171</v>
      </c>
      <c r="X38">
        <f t="shared" si="14"/>
        <v>0.99959271253452009</v>
      </c>
      <c r="Y38">
        <f t="shared" si="15"/>
        <v>-0.80152507968427855</v>
      </c>
    </row>
    <row r="39" spans="9:25" x14ac:dyDescent="0.3">
      <c r="I39">
        <v>0.94959170000000004</v>
      </c>
      <c r="J39">
        <v>125</v>
      </c>
      <c r="K39">
        <v>0</v>
      </c>
      <c r="L39">
        <v>5400</v>
      </c>
      <c r="M39">
        <f t="shared" si="16"/>
        <v>22.652115211521153</v>
      </c>
      <c r="O39">
        <v>0</v>
      </c>
      <c r="P39">
        <v>1</v>
      </c>
      <c r="Q39">
        <f t="shared" si="12"/>
        <v>6.0310335342774003E-2</v>
      </c>
      <c r="S39" s="9">
        <v>4.6485355648535567</v>
      </c>
      <c r="T39" s="9">
        <v>1</v>
      </c>
      <c r="V39" s="21">
        <f t="shared" si="13"/>
        <v>0.21512151215121511</v>
      </c>
      <c r="X39">
        <f t="shared" si="14"/>
        <v>1</v>
      </c>
      <c r="Y39">
        <f t="shared" si="15"/>
        <v>-1</v>
      </c>
    </row>
    <row r="41" spans="9:25" x14ac:dyDescent="0.3">
      <c r="O41" t="s">
        <v>105</v>
      </c>
      <c r="P41" t="s">
        <v>69</v>
      </c>
      <c r="S41" t="s">
        <v>120</v>
      </c>
    </row>
    <row r="42" spans="9:25" x14ac:dyDescent="0.3">
      <c r="M42">
        <v>0.54647760000000001</v>
      </c>
      <c r="N42">
        <v>1</v>
      </c>
      <c r="O42">
        <v>0.95772048330320603</v>
      </c>
      <c r="P42">
        <v>0.17703703703703705</v>
      </c>
      <c r="S42">
        <f>1-P42</f>
        <v>0.8229629629629629</v>
      </c>
    </row>
    <row r="43" spans="9:25" x14ac:dyDescent="0.3">
      <c r="M43">
        <v>0.54647760000000001</v>
      </c>
      <c r="N43">
        <v>8</v>
      </c>
      <c r="O43">
        <v>0.93821650721039862</v>
      </c>
      <c r="P43">
        <v>0.17962962962962964</v>
      </c>
      <c r="Q43" s="15">
        <f>($O$42-O43)/(P43-$P$42)</f>
        <v>7.522962207225719</v>
      </c>
      <c r="S43">
        <f t="shared" ref="S43:S56" si="17">1-P43</f>
        <v>0.82037037037037042</v>
      </c>
    </row>
    <row r="44" spans="9:25" x14ac:dyDescent="0.3">
      <c r="M44">
        <v>0.54647760000000001</v>
      </c>
      <c r="N44">
        <v>27</v>
      </c>
      <c r="O44">
        <v>0.86815836869257301</v>
      </c>
      <c r="P44">
        <v>0.20018518518518519</v>
      </c>
      <c r="Q44" s="15">
        <f t="shared" ref="Q44:Q56" si="18">($O$42-O44)/(P44-$P$42)</f>
        <v>3.8690833511793477</v>
      </c>
      <c r="S44">
        <f t="shared" si="17"/>
        <v>0.79981481481481476</v>
      </c>
    </row>
    <row r="45" spans="9:25" x14ac:dyDescent="0.3">
      <c r="M45">
        <v>0.54647760000000001</v>
      </c>
      <c r="N45">
        <v>64</v>
      </c>
      <c r="O45">
        <v>0.70413100111648674</v>
      </c>
      <c r="P45">
        <v>0.2638888888888889</v>
      </c>
      <c r="Q45" s="15">
        <f t="shared" si="18"/>
        <v>2.9197936115315231</v>
      </c>
      <c r="S45">
        <f t="shared" si="17"/>
        <v>0.73611111111111116</v>
      </c>
    </row>
    <row r="46" spans="9:25" x14ac:dyDescent="0.3">
      <c r="M46">
        <v>0.54647760000000001</v>
      </c>
      <c r="N46">
        <v>125</v>
      </c>
      <c r="O46">
        <v>0.54647655607348511</v>
      </c>
      <c r="P46">
        <v>0.38740740740740742</v>
      </c>
      <c r="Q46" s="15">
        <f t="shared" si="18"/>
        <v>1.9548566963384622</v>
      </c>
      <c r="S46">
        <f t="shared" si="17"/>
        <v>0.61259259259259258</v>
      </c>
    </row>
    <row r="47" spans="9:25" x14ac:dyDescent="0.3">
      <c r="M47">
        <v>0.8061161</v>
      </c>
      <c r="N47">
        <v>1</v>
      </c>
      <c r="O47">
        <v>0.90918828850273747</v>
      </c>
      <c r="P47">
        <v>0.57611111111111113</v>
      </c>
      <c r="Q47" s="15">
        <f t="shared" si="18"/>
        <v>0.12161199625175415</v>
      </c>
      <c r="S47">
        <f t="shared" si="17"/>
        <v>0.42388888888888887</v>
      </c>
    </row>
    <row r="48" spans="9:25" x14ac:dyDescent="0.3">
      <c r="M48">
        <v>0.8061161</v>
      </c>
      <c r="N48">
        <v>8</v>
      </c>
      <c r="O48">
        <v>0.65514581083166179</v>
      </c>
      <c r="P48">
        <v>0.58611111111111114</v>
      </c>
      <c r="Q48" s="15">
        <f t="shared" si="18"/>
        <v>0.73965741572944266</v>
      </c>
      <c r="S48">
        <f t="shared" si="17"/>
        <v>0.41388888888888886</v>
      </c>
    </row>
    <row r="49" spans="13:19" x14ac:dyDescent="0.3">
      <c r="M49">
        <v>0.8061161</v>
      </c>
      <c r="N49">
        <v>27</v>
      </c>
      <c r="O49">
        <v>0.25959031657355702</v>
      </c>
      <c r="P49">
        <v>0.63185185185185189</v>
      </c>
      <c r="Q49" s="15">
        <f t="shared" si="18"/>
        <v>1.5349767509528112</v>
      </c>
      <c r="S49">
        <f t="shared" si="17"/>
        <v>0.36814814814814811</v>
      </c>
    </row>
    <row r="50" spans="13:19" x14ac:dyDescent="0.3">
      <c r="M50">
        <v>0.8061161</v>
      </c>
      <c r="N50">
        <v>64</v>
      </c>
      <c r="O50">
        <v>0.23623623623623624</v>
      </c>
      <c r="P50">
        <v>0.71740740740740738</v>
      </c>
      <c r="Q50" s="15">
        <f t="shared" si="18"/>
        <v>1.335166187169855</v>
      </c>
      <c r="S50">
        <f t="shared" si="17"/>
        <v>0.28259259259259262</v>
      </c>
    </row>
    <row r="51" spans="13:19" x14ac:dyDescent="0.3">
      <c r="M51">
        <v>0.8061161</v>
      </c>
      <c r="N51">
        <v>125</v>
      </c>
      <c r="O51">
        <v>0.18429319371727748</v>
      </c>
      <c r="P51">
        <v>0.85574074074074069</v>
      </c>
      <c r="Q51" s="15">
        <f t="shared" si="18"/>
        <v>1.1395654471388854</v>
      </c>
      <c r="S51">
        <f t="shared" si="17"/>
        <v>0.14425925925925931</v>
      </c>
    </row>
    <row r="52" spans="13:19" x14ac:dyDescent="0.3">
      <c r="M52">
        <v>0.94959170000000004</v>
      </c>
      <c r="N52">
        <v>1</v>
      </c>
      <c r="O52">
        <v>0.93394719533965986</v>
      </c>
      <c r="P52">
        <v>0.86981481481481482</v>
      </c>
      <c r="Q52" s="15">
        <f t="shared" si="18"/>
        <v>3.4315892810251082E-2</v>
      </c>
      <c r="S52">
        <f t="shared" si="17"/>
        <v>0.13018518518518518</v>
      </c>
    </row>
    <row r="53" spans="13:19" x14ac:dyDescent="0.3">
      <c r="M53">
        <v>0.94959170000000004</v>
      </c>
      <c r="N53">
        <v>8</v>
      </c>
      <c r="O53">
        <v>0.52485380116959068</v>
      </c>
      <c r="P53">
        <v>0.87962962962962965</v>
      </c>
      <c r="Q53" s="15">
        <f t="shared" si="18"/>
        <v>0.61609912586228854</v>
      </c>
      <c r="S53">
        <f t="shared" si="17"/>
        <v>0.12037037037037035</v>
      </c>
    </row>
    <row r="54" spans="13:19" x14ac:dyDescent="0.3">
      <c r="M54">
        <v>0.94959170000000004</v>
      </c>
      <c r="N54">
        <v>27</v>
      </c>
      <c r="O54">
        <v>0.22831050228310501</v>
      </c>
      <c r="P54">
        <v>0.90611111111111109</v>
      </c>
      <c r="Q54" s="15">
        <f t="shared" si="18"/>
        <v>1.0004607308886324</v>
      </c>
      <c r="S54">
        <f t="shared" si="17"/>
        <v>9.3888888888888911E-2</v>
      </c>
    </row>
    <row r="55" spans="13:19" x14ac:dyDescent="0.3">
      <c r="M55">
        <v>0.94959170000000004</v>
      </c>
      <c r="N55">
        <v>64</v>
      </c>
      <c r="O55">
        <v>0.19806763285024154</v>
      </c>
      <c r="P55">
        <v>0.96925925925925926</v>
      </c>
      <c r="Q55" s="15">
        <f t="shared" si="18"/>
        <v>0.95888859103459756</v>
      </c>
      <c r="S55">
        <f t="shared" si="17"/>
        <v>3.0740740740740735E-2</v>
      </c>
    </row>
    <row r="56" spans="13:19" x14ac:dyDescent="0.3">
      <c r="M56">
        <v>0.94959170000000004</v>
      </c>
      <c r="N56">
        <v>125</v>
      </c>
      <c r="O56">
        <v>0</v>
      </c>
      <c r="P56">
        <v>1</v>
      </c>
      <c r="Q56" s="15">
        <f t="shared" si="18"/>
        <v>1.1637467618895845</v>
      </c>
      <c r="S56">
        <f t="shared" si="17"/>
        <v>0</v>
      </c>
    </row>
  </sheetData>
  <conditionalFormatting sqref="M25:M39">
    <cfRule type="colorScale" priority="4">
      <colorScale>
        <cfvo type="min"/>
        <cfvo type="max"/>
        <color rgb="FFFCFCFF"/>
        <color rgb="FFF8696B"/>
      </colorScale>
    </cfRule>
  </conditionalFormatting>
  <conditionalFormatting sqref="Q25:Q39">
    <cfRule type="colorScale" priority="3">
      <colorScale>
        <cfvo type="min"/>
        <cfvo type="max"/>
        <color rgb="FFFCFCFF"/>
        <color rgb="FFF8696B"/>
      </colorScale>
    </cfRule>
  </conditionalFormatting>
  <conditionalFormatting sqref="Q42:Q56">
    <cfRule type="colorScale" priority="1">
      <colorScale>
        <cfvo type="min"/>
        <cfvo type="max"/>
        <color rgb="FFFCFCFF"/>
        <color rgb="FFF8696B"/>
      </colorScale>
    </cfRule>
  </conditionalFormatting>
  <conditionalFormatting sqref="V26:V39">
    <cfRule type="colorScale" priority="2">
      <colorScale>
        <cfvo type="min"/>
        <cfvo type="max"/>
        <color rgb="FFFCFCFF"/>
        <color rgb="FFF8696B"/>
      </colorScale>
    </cfRule>
  </conditionalFormatting>
  <pageMargins left="0.7" right="0.7" top="0.75" bottom="0.75" header="0.3" footer="0.3"/>
  <pageSetup orientation="portrait" horizontalDpi="1200" verticalDpi="120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E12DD-55CD-42D6-B336-A6577A107239}">
  <dimension ref="A1:AB110"/>
  <sheetViews>
    <sheetView topLeftCell="N53" zoomScale="115" zoomScaleNormal="115" workbookViewId="0">
      <selection activeCell="P71" sqref="P71"/>
    </sheetView>
  </sheetViews>
  <sheetFormatPr defaultRowHeight="14.4" x14ac:dyDescent="0.3"/>
  <cols>
    <col min="1" max="1" width="13.88671875" bestFit="1" customWidth="1"/>
    <col min="2" max="3" width="13.33203125" bestFit="1" customWidth="1"/>
    <col min="4" max="4" width="10.5546875" bestFit="1" customWidth="1"/>
    <col min="5" max="5" width="9.44140625" bestFit="1" customWidth="1"/>
    <col min="6" max="6" width="9.33203125" bestFit="1" customWidth="1"/>
    <col min="9" max="9" width="8.109375" customWidth="1"/>
    <col min="10" max="10" width="10.77734375" bestFit="1" customWidth="1"/>
    <col min="11" max="11" width="15" bestFit="1" customWidth="1"/>
    <col min="12" max="12" width="14.109375" customWidth="1"/>
    <col min="13" max="14" width="15.44140625" customWidth="1"/>
    <col min="15" max="16" width="9.21875" customWidth="1"/>
  </cols>
  <sheetData>
    <row r="1" spans="1:19" x14ac:dyDescent="0.3">
      <c r="A1" s="5" t="s">
        <v>3</v>
      </c>
      <c r="B1" s="8">
        <v>150</v>
      </c>
    </row>
    <row r="2" spans="1:19" x14ac:dyDescent="0.3">
      <c r="L2" s="10" t="s">
        <v>103</v>
      </c>
    </row>
    <row r="3" spans="1:19" x14ac:dyDescent="0.3">
      <c r="A3" s="5" t="s">
        <v>90</v>
      </c>
      <c r="B3" t="s">
        <v>92</v>
      </c>
      <c r="C3" t="s">
        <v>102</v>
      </c>
      <c r="D3" t="s">
        <v>94</v>
      </c>
      <c r="E3" t="s">
        <v>108</v>
      </c>
      <c r="F3" t="s">
        <v>104</v>
      </c>
      <c r="L3" s="14">
        <f>K5*L5</f>
        <v>100666</v>
      </c>
    </row>
    <row r="4" spans="1:19" ht="28.8" x14ac:dyDescent="0.3">
      <c r="A4" s="6">
        <v>0.54647760000000001</v>
      </c>
      <c r="B4">
        <v>230300</v>
      </c>
      <c r="C4">
        <v>4.0147029163961498</v>
      </c>
      <c r="D4" s="1">
        <v>1.2081481481481482</v>
      </c>
      <c r="E4">
        <v>6524</v>
      </c>
      <c r="F4">
        <v>209824</v>
      </c>
      <c r="I4" s="10" t="s">
        <v>97</v>
      </c>
      <c r="J4" s="10" t="s">
        <v>98</v>
      </c>
      <c r="K4" s="10" t="s">
        <v>99</v>
      </c>
      <c r="L4" s="10" t="s">
        <v>105</v>
      </c>
      <c r="M4" s="10" t="s">
        <v>106</v>
      </c>
      <c r="N4" s="10" t="s">
        <v>109</v>
      </c>
      <c r="O4" s="10" t="s">
        <v>107</v>
      </c>
      <c r="P4" s="10" t="s">
        <v>110</v>
      </c>
      <c r="R4" t="s">
        <v>107</v>
      </c>
      <c r="S4" t="s">
        <v>110</v>
      </c>
    </row>
    <row r="5" spans="1:19" x14ac:dyDescent="0.3">
      <c r="A5" s="7">
        <v>1</v>
      </c>
      <c r="B5">
        <v>105110</v>
      </c>
      <c r="C5">
        <v>0.95772048330320614</v>
      </c>
      <c r="D5" s="1">
        <v>0.17703703703703705</v>
      </c>
      <c r="E5">
        <v>956</v>
      </c>
      <c r="F5">
        <v>100666</v>
      </c>
      <c r="I5" s="1">
        <f>A$4</f>
        <v>0.54647760000000001</v>
      </c>
      <c r="J5">
        <f>A5</f>
        <v>1</v>
      </c>
      <c r="K5">
        <f>B5</f>
        <v>105110</v>
      </c>
      <c r="L5" s="13">
        <f>C5</f>
        <v>0.95772048330320614</v>
      </c>
      <c r="M5" s="16" t="str">
        <f t="shared" ref="M5:M18" si="0">IF(L5&lt;=0.05,"Corrected","Not Sufficient")</f>
        <v>Not Sufficient</v>
      </c>
      <c r="N5" s="17">
        <f>E5</f>
        <v>956</v>
      </c>
      <c r="O5" s="9">
        <f t="shared" ref="O5:O19" si="1">(N5-$N$5)/$N$5</f>
        <v>0</v>
      </c>
      <c r="P5" s="9">
        <v>0</v>
      </c>
      <c r="R5">
        <v>0</v>
      </c>
      <c r="S5">
        <v>0</v>
      </c>
    </row>
    <row r="6" spans="1:19" x14ac:dyDescent="0.3">
      <c r="A6" s="7">
        <v>8</v>
      </c>
      <c r="B6">
        <v>71702</v>
      </c>
      <c r="C6">
        <v>0.93821650721039862</v>
      </c>
      <c r="D6" s="1">
        <v>0.17962962962962964</v>
      </c>
      <c r="E6">
        <v>970</v>
      </c>
      <c r="F6">
        <v>67272</v>
      </c>
      <c r="I6" s="1">
        <f t="shared" ref="I6:I9" si="2">A$4</f>
        <v>0.54647760000000001</v>
      </c>
      <c r="J6">
        <f t="shared" ref="J6:K9" si="3">A6</f>
        <v>8</v>
      </c>
      <c r="K6">
        <f t="shared" si="3"/>
        <v>71702</v>
      </c>
      <c r="L6" s="13">
        <f t="shared" ref="L6:L9" si="4">C6</f>
        <v>0.93821650721039862</v>
      </c>
      <c r="M6" s="16" t="str">
        <f t="shared" si="0"/>
        <v>Not Sufficient</v>
      </c>
      <c r="N6" s="17">
        <f t="shared" ref="N6:N9" si="5">E6</f>
        <v>970</v>
      </c>
      <c r="O6" s="9">
        <f t="shared" si="1"/>
        <v>1.4644351464435146E-2</v>
      </c>
      <c r="P6" s="9">
        <v>0.31783845495195501</v>
      </c>
      <c r="R6">
        <v>2.25418410041841</v>
      </c>
      <c r="S6">
        <v>0.76019408238987696</v>
      </c>
    </row>
    <row r="7" spans="1:19" x14ac:dyDescent="0.3">
      <c r="A7" s="7">
        <v>27</v>
      </c>
      <c r="B7">
        <v>32759</v>
      </c>
      <c r="C7">
        <v>0.86815836869257301</v>
      </c>
      <c r="D7" s="1">
        <v>0.20018518518518519</v>
      </c>
      <c r="E7">
        <v>1081</v>
      </c>
      <c r="F7">
        <v>28440</v>
      </c>
      <c r="I7" s="1">
        <f t="shared" si="2"/>
        <v>0.54647760000000001</v>
      </c>
      <c r="J7">
        <f t="shared" si="3"/>
        <v>27</v>
      </c>
      <c r="K7">
        <f t="shared" si="3"/>
        <v>32759</v>
      </c>
      <c r="L7" s="13">
        <f t="shared" si="4"/>
        <v>0.86815836869257301</v>
      </c>
      <c r="M7" s="16" t="str">
        <f t="shared" si="0"/>
        <v>Not Sufficient</v>
      </c>
      <c r="N7" s="17">
        <f t="shared" si="5"/>
        <v>1081</v>
      </c>
      <c r="O7" s="9">
        <f t="shared" si="1"/>
        <v>0.1307531380753138</v>
      </c>
      <c r="P7" s="9">
        <v>0.68833602892208168</v>
      </c>
      <c r="R7">
        <v>3.9131799163179899</v>
      </c>
      <c r="S7">
        <v>0.89874417277138197</v>
      </c>
    </row>
    <row r="8" spans="1:19" x14ac:dyDescent="0.3">
      <c r="A8" s="7">
        <v>64</v>
      </c>
      <c r="B8">
        <v>13435</v>
      </c>
      <c r="C8">
        <v>0.70413100111648674</v>
      </c>
      <c r="D8" s="1">
        <v>0.2638888888888889</v>
      </c>
      <c r="E8">
        <v>1425</v>
      </c>
      <c r="F8">
        <v>9460</v>
      </c>
      <c r="I8" s="1">
        <f t="shared" si="2"/>
        <v>0.54647760000000001</v>
      </c>
      <c r="J8">
        <f t="shared" si="3"/>
        <v>64</v>
      </c>
      <c r="K8">
        <f t="shared" si="3"/>
        <v>13435</v>
      </c>
      <c r="L8" s="13">
        <f t="shared" si="4"/>
        <v>0.70413100111648674</v>
      </c>
      <c r="M8" s="16" t="str">
        <f t="shared" si="0"/>
        <v>Not Sufficient</v>
      </c>
      <c r="N8" s="17">
        <f t="shared" si="5"/>
        <v>1425</v>
      </c>
      <c r="O8" s="9">
        <f t="shared" si="1"/>
        <v>0.4905857740585774</v>
      </c>
      <c r="P8" s="9">
        <v>0.87218152411759109</v>
      </c>
    </row>
    <row r="9" spans="1:19" x14ac:dyDescent="0.3">
      <c r="A9" s="7">
        <v>125</v>
      </c>
      <c r="B9">
        <v>7294</v>
      </c>
      <c r="C9">
        <v>0.54647655607348511</v>
      </c>
      <c r="D9" s="1">
        <v>0.38740740740740742</v>
      </c>
      <c r="E9">
        <v>2092</v>
      </c>
      <c r="F9">
        <v>3986</v>
      </c>
      <c r="I9" s="1">
        <f t="shared" si="2"/>
        <v>0.54647760000000001</v>
      </c>
      <c r="J9">
        <f t="shared" si="3"/>
        <v>125</v>
      </c>
      <c r="K9">
        <f t="shared" si="3"/>
        <v>7294</v>
      </c>
      <c r="L9" s="13">
        <f t="shared" si="4"/>
        <v>0.54647655607348511</v>
      </c>
      <c r="M9" s="16" t="str">
        <f t="shared" si="0"/>
        <v>Not Sufficient</v>
      </c>
      <c r="N9" s="17">
        <f t="shared" si="5"/>
        <v>2092</v>
      </c>
      <c r="O9" s="9">
        <f t="shared" si="1"/>
        <v>1.1882845188284519</v>
      </c>
      <c r="P9" s="9">
        <v>0.93060603177623447</v>
      </c>
      <c r="R9" t="s">
        <v>107</v>
      </c>
      <c r="S9" t="s">
        <v>110</v>
      </c>
    </row>
    <row r="10" spans="1:19" x14ac:dyDescent="0.3">
      <c r="A10" s="6">
        <v>0.8061161</v>
      </c>
      <c r="B10">
        <v>37325</v>
      </c>
      <c r="C10">
        <v>2.2444538458614698</v>
      </c>
      <c r="D10" s="1">
        <v>3.3672222222222223</v>
      </c>
      <c r="E10">
        <v>18183</v>
      </c>
      <c r="F10">
        <v>28508</v>
      </c>
      <c r="I10" s="1">
        <f>A$10</f>
        <v>0.8061161</v>
      </c>
      <c r="J10">
        <v>1</v>
      </c>
      <c r="K10">
        <f t="shared" ref="K10:L14" si="6">B11</f>
        <v>25206</v>
      </c>
      <c r="L10" s="13">
        <f t="shared" si="6"/>
        <v>0.90918828850273747</v>
      </c>
      <c r="M10" s="16" t="str">
        <f t="shared" si="0"/>
        <v>Not Sufficient</v>
      </c>
      <c r="N10" s="17">
        <f>E11</f>
        <v>3111</v>
      </c>
      <c r="O10" s="9">
        <f t="shared" si="1"/>
        <v>2.25418410041841</v>
      </c>
      <c r="P10" s="9">
        <v>0.76019408238987729</v>
      </c>
      <c r="R10">
        <v>1.4644351464435146E-2</v>
      </c>
      <c r="S10">
        <v>0.31783845495195501</v>
      </c>
    </row>
    <row r="11" spans="1:19" x14ac:dyDescent="0.3">
      <c r="A11" s="7">
        <v>1</v>
      </c>
      <c r="B11">
        <v>25206</v>
      </c>
      <c r="C11">
        <v>0.90918828850273747</v>
      </c>
      <c r="D11" s="1">
        <v>0.57611111111111113</v>
      </c>
      <c r="E11">
        <v>3111</v>
      </c>
      <c r="F11">
        <v>22917</v>
      </c>
      <c r="I11" s="1">
        <f t="shared" ref="I11:I14" si="7">A$10</f>
        <v>0.8061161</v>
      </c>
      <c r="J11">
        <v>8</v>
      </c>
      <c r="K11">
        <f t="shared" si="6"/>
        <v>6481</v>
      </c>
      <c r="L11" s="13">
        <f t="shared" si="6"/>
        <v>0.65514581083166179</v>
      </c>
      <c r="M11" s="16" t="str">
        <f t="shared" si="0"/>
        <v>Not Sufficient</v>
      </c>
      <c r="N11" s="17">
        <f t="shared" ref="N11:N13" si="8">E12</f>
        <v>3165</v>
      </c>
      <c r="O11" s="9">
        <f t="shared" si="1"/>
        <v>2.3106694560669454</v>
      </c>
      <c r="P11" s="9">
        <v>0.93834078584340219</v>
      </c>
      <c r="R11">
        <v>2.3106694560669454</v>
      </c>
      <c r="S11">
        <v>0.93834078584340219</v>
      </c>
    </row>
    <row r="12" spans="1:19" x14ac:dyDescent="0.3">
      <c r="A12" s="7">
        <v>8</v>
      </c>
      <c r="B12">
        <v>6481</v>
      </c>
      <c r="C12">
        <v>0.65514581083166179</v>
      </c>
      <c r="D12" s="1">
        <v>0.58611111111111114</v>
      </c>
      <c r="E12">
        <v>3165</v>
      </c>
      <c r="F12">
        <v>4246</v>
      </c>
      <c r="I12" s="1">
        <f t="shared" si="7"/>
        <v>0.8061161</v>
      </c>
      <c r="J12">
        <v>27</v>
      </c>
      <c r="K12">
        <f t="shared" si="6"/>
        <v>2685</v>
      </c>
      <c r="L12" s="13">
        <f t="shared" si="6"/>
        <v>0.2595903165735568</v>
      </c>
      <c r="M12" s="16" t="str">
        <f t="shared" si="0"/>
        <v>Not Sufficient</v>
      </c>
      <c r="N12" s="17">
        <f t="shared" si="8"/>
        <v>3412</v>
      </c>
      <c r="O12" s="9">
        <f t="shared" si="1"/>
        <v>2.5690376569037658</v>
      </c>
      <c r="P12" s="9">
        <v>0.97445533250880034</v>
      </c>
      <c r="R12">
        <v>3.9686192468619246</v>
      </c>
      <c r="S12">
        <v>0.9869850632670536</v>
      </c>
    </row>
    <row r="13" spans="1:19" x14ac:dyDescent="0.3">
      <c r="A13" s="7">
        <v>27</v>
      </c>
      <c r="B13">
        <v>2685</v>
      </c>
      <c r="C13">
        <v>0.2595903165735568</v>
      </c>
      <c r="D13" s="1">
        <v>0.63185185185185189</v>
      </c>
      <c r="E13">
        <v>3412</v>
      </c>
      <c r="F13">
        <v>697</v>
      </c>
      <c r="I13" s="1">
        <f t="shared" si="7"/>
        <v>0.8061161</v>
      </c>
      <c r="J13">
        <v>64</v>
      </c>
      <c r="K13">
        <f t="shared" si="6"/>
        <v>1998</v>
      </c>
      <c r="L13" s="13">
        <f t="shared" si="6"/>
        <v>0.23623623623623624</v>
      </c>
      <c r="M13" s="16" t="str">
        <f t="shared" si="0"/>
        <v>Not Sufficient</v>
      </c>
      <c r="N13" s="17">
        <f t="shared" si="8"/>
        <v>3874</v>
      </c>
      <c r="O13" s="9">
        <f t="shared" si="1"/>
        <v>3.0523012552301254</v>
      </c>
      <c r="P13" s="9">
        <v>0.98099134240319663</v>
      </c>
    </row>
    <row r="14" spans="1:19" x14ac:dyDescent="0.3">
      <c r="A14" s="7">
        <v>64</v>
      </c>
      <c r="B14">
        <v>1998</v>
      </c>
      <c r="C14">
        <v>0.23623623623623624</v>
      </c>
      <c r="D14" s="1">
        <v>0.71740740740740738</v>
      </c>
      <c r="E14">
        <v>3874</v>
      </c>
      <c r="F14">
        <v>472</v>
      </c>
      <c r="I14" s="1">
        <f t="shared" si="7"/>
        <v>0.8061161</v>
      </c>
      <c r="J14">
        <v>125</v>
      </c>
      <c r="K14">
        <f t="shared" si="6"/>
        <v>955</v>
      </c>
      <c r="L14" s="13">
        <f t="shared" si="6"/>
        <v>0.18429319371727748</v>
      </c>
      <c r="M14" s="16" t="str">
        <f t="shared" si="0"/>
        <v>Not Sufficient</v>
      </c>
      <c r="N14" s="17">
        <f>E15</f>
        <v>4621</v>
      </c>
      <c r="O14" s="9">
        <f t="shared" si="1"/>
        <v>3.8336820083682008</v>
      </c>
      <c r="P14" s="9">
        <v>0.99091428027780426</v>
      </c>
      <c r="R14" t="s">
        <v>107</v>
      </c>
      <c r="S14" t="s">
        <v>110</v>
      </c>
    </row>
    <row r="15" spans="1:19" x14ac:dyDescent="0.3">
      <c r="A15" s="7">
        <v>125</v>
      </c>
      <c r="B15">
        <v>955</v>
      </c>
      <c r="C15">
        <v>0.18429319371727748</v>
      </c>
      <c r="D15" s="1">
        <v>0.85574074074074069</v>
      </c>
      <c r="E15">
        <v>4621</v>
      </c>
      <c r="F15">
        <v>176</v>
      </c>
      <c r="I15" s="1">
        <f>A$16</f>
        <v>0.94959170000000004</v>
      </c>
      <c r="J15">
        <v>1</v>
      </c>
      <c r="K15">
        <f t="shared" ref="K15:L19" si="9">B17</f>
        <v>10643</v>
      </c>
      <c r="L15" s="13">
        <f t="shared" si="9"/>
        <v>0.93394719533965986</v>
      </c>
      <c r="M15" s="16" t="str">
        <f t="shared" si="0"/>
        <v>Not Sufficient</v>
      </c>
      <c r="N15" s="17">
        <f>E17</f>
        <v>4697</v>
      </c>
      <c r="O15" s="9">
        <f t="shared" si="1"/>
        <v>3.9131799163179917</v>
      </c>
      <c r="P15" s="9">
        <v>0.89874417277138241</v>
      </c>
      <c r="R15">
        <v>0.1307531380753138</v>
      </c>
      <c r="S15">
        <v>0.68833602892208168</v>
      </c>
    </row>
    <row r="16" spans="1:19" x14ac:dyDescent="0.3">
      <c r="A16" s="6">
        <v>0.94959170000000004</v>
      </c>
      <c r="B16">
        <v>12875</v>
      </c>
      <c r="C16">
        <v>1.8851791316425972</v>
      </c>
      <c r="D16" s="1">
        <v>4.6248148148148145</v>
      </c>
      <c r="E16">
        <v>24974</v>
      </c>
      <c r="F16">
        <v>10849</v>
      </c>
      <c r="I16" s="1">
        <f t="shared" ref="I16:I19" si="10">A$16</f>
        <v>0.94959170000000004</v>
      </c>
      <c r="J16">
        <v>8</v>
      </c>
      <c r="K16">
        <f t="shared" si="9"/>
        <v>1368</v>
      </c>
      <c r="L16" s="13">
        <f t="shared" si="9"/>
        <v>0.52485380116959068</v>
      </c>
      <c r="M16" s="16" t="str">
        <f t="shared" si="0"/>
        <v>Not Sufficient</v>
      </c>
      <c r="N16" s="17">
        <f t="shared" ref="N16:N19" si="11">E18</f>
        <v>4750</v>
      </c>
      <c r="O16" s="9">
        <f t="shared" si="1"/>
        <v>3.9686192468619246</v>
      </c>
      <c r="P16" s="9">
        <v>0.9869850632670536</v>
      </c>
      <c r="R16">
        <v>2.5690376569037658</v>
      </c>
      <c r="S16">
        <v>0.97445533250880034</v>
      </c>
    </row>
    <row r="17" spans="1:28" x14ac:dyDescent="0.3">
      <c r="A17" s="7">
        <v>1</v>
      </c>
      <c r="B17">
        <v>10643</v>
      </c>
      <c r="C17">
        <v>0.93394719533965986</v>
      </c>
      <c r="D17" s="1">
        <v>0.86981481481481482</v>
      </c>
      <c r="E17">
        <v>4697</v>
      </c>
      <c r="F17">
        <v>9940</v>
      </c>
      <c r="I17" s="1">
        <f t="shared" si="10"/>
        <v>0.94959170000000004</v>
      </c>
      <c r="J17">
        <v>27</v>
      </c>
      <c r="K17">
        <f t="shared" si="9"/>
        <v>657</v>
      </c>
      <c r="L17" s="13">
        <f t="shared" si="9"/>
        <v>0.22831050228310501</v>
      </c>
      <c r="M17" s="16" t="str">
        <f t="shared" si="0"/>
        <v>Not Sufficient</v>
      </c>
      <c r="N17" s="17">
        <f t="shared" si="11"/>
        <v>4893</v>
      </c>
      <c r="O17" s="9">
        <f t="shared" si="1"/>
        <v>4.1182008368200833</v>
      </c>
      <c r="P17" s="9">
        <v>0.99374940538483492</v>
      </c>
      <c r="R17">
        <v>4.1182008368200833</v>
      </c>
      <c r="S17">
        <v>0.99374940538483492</v>
      </c>
    </row>
    <row r="18" spans="1:28" x14ac:dyDescent="0.3">
      <c r="A18" s="7">
        <v>8</v>
      </c>
      <c r="B18">
        <v>1368</v>
      </c>
      <c r="C18">
        <v>0.52485380116959068</v>
      </c>
      <c r="D18" s="1">
        <v>0.87962962962962965</v>
      </c>
      <c r="E18">
        <v>4750</v>
      </c>
      <c r="F18">
        <v>718</v>
      </c>
      <c r="I18" s="1">
        <f t="shared" si="10"/>
        <v>0.94959170000000004</v>
      </c>
      <c r="J18">
        <v>64</v>
      </c>
      <c r="K18">
        <f t="shared" si="9"/>
        <v>207</v>
      </c>
      <c r="L18" s="13">
        <f t="shared" si="9"/>
        <v>0.19806763285024154</v>
      </c>
      <c r="M18" s="16" t="str">
        <f t="shared" si="0"/>
        <v>Not Sufficient</v>
      </c>
      <c r="N18" s="17">
        <f t="shared" si="11"/>
        <v>5234</v>
      </c>
      <c r="O18" s="9">
        <f t="shared" si="1"/>
        <v>4.47489539748954</v>
      </c>
      <c r="P18" s="9">
        <v>0.99803063457330421</v>
      </c>
    </row>
    <row r="19" spans="1:28" x14ac:dyDescent="0.3">
      <c r="A19" s="7">
        <v>27</v>
      </c>
      <c r="B19">
        <v>657</v>
      </c>
      <c r="C19">
        <v>0.22831050228310501</v>
      </c>
      <c r="D19" s="1">
        <v>0.90611111111111109</v>
      </c>
      <c r="E19">
        <v>4893</v>
      </c>
      <c r="F19">
        <v>150</v>
      </c>
      <c r="I19" s="1">
        <f t="shared" si="10"/>
        <v>0.94959170000000004</v>
      </c>
      <c r="J19">
        <v>125</v>
      </c>
      <c r="K19">
        <f t="shared" si="9"/>
        <v>0</v>
      </c>
      <c r="L19" s="13">
        <f t="shared" si="9"/>
        <v>0</v>
      </c>
      <c r="M19" s="16" t="str">
        <f>IF(L19&lt;=0.05,"Corrected","Not Sufficient")</f>
        <v>Corrected</v>
      </c>
      <c r="N19" s="17">
        <f t="shared" si="11"/>
        <v>5400</v>
      </c>
      <c r="O19" s="9">
        <f t="shared" si="1"/>
        <v>4.6485355648535567</v>
      </c>
      <c r="P19" s="9">
        <v>1</v>
      </c>
      <c r="R19" t="s">
        <v>107</v>
      </c>
      <c r="S19" t="s">
        <v>110</v>
      </c>
    </row>
    <row r="20" spans="1:28" x14ac:dyDescent="0.3">
      <c r="A20" s="7">
        <v>64</v>
      </c>
      <c r="B20">
        <v>207</v>
      </c>
      <c r="C20">
        <v>0.19806763285024154</v>
      </c>
      <c r="D20" s="1">
        <v>0.96925925925925926</v>
      </c>
      <c r="E20">
        <v>5234</v>
      </c>
      <c r="F20">
        <v>41</v>
      </c>
      <c r="R20">
        <v>0.4905857740585774</v>
      </c>
      <c r="S20">
        <v>0.87218152411759109</v>
      </c>
    </row>
    <row r="21" spans="1:28" x14ac:dyDescent="0.3">
      <c r="A21" s="7">
        <v>125</v>
      </c>
      <c r="B21">
        <v>0</v>
      </c>
      <c r="D21" s="1">
        <v>1</v>
      </c>
      <c r="E21">
        <v>5400</v>
      </c>
      <c r="F21">
        <v>0</v>
      </c>
      <c r="R21">
        <v>3.0523012552301254</v>
      </c>
      <c r="S21">
        <v>0.98099134240319663</v>
      </c>
    </row>
    <row r="22" spans="1:28" x14ac:dyDescent="0.3">
      <c r="A22" s="6" t="s">
        <v>91</v>
      </c>
      <c r="B22">
        <v>280500</v>
      </c>
      <c r="C22">
        <v>8.144335893900216</v>
      </c>
      <c r="D22" s="1">
        <v>9.2001851851851839</v>
      </c>
      <c r="E22">
        <v>49681</v>
      </c>
      <c r="F22">
        <v>249181</v>
      </c>
      <c r="R22">
        <v>4.47489539748954</v>
      </c>
      <c r="S22">
        <v>0.99803063457330421</v>
      </c>
    </row>
    <row r="23" spans="1:28" x14ac:dyDescent="0.3">
      <c r="I23" t="s">
        <v>97</v>
      </c>
      <c r="J23" t="s">
        <v>98</v>
      </c>
      <c r="K23" t="s">
        <v>105</v>
      </c>
      <c r="L23" t="s">
        <v>69</v>
      </c>
      <c r="M23" t="s">
        <v>76</v>
      </c>
    </row>
    <row r="24" spans="1:28" x14ac:dyDescent="0.3">
      <c r="I24" s="1">
        <v>0.54647760000000001</v>
      </c>
      <c r="J24">
        <v>1</v>
      </c>
      <c r="K24" s="1">
        <v>0.95772048330320603</v>
      </c>
      <c r="L24">
        <v>0.17703703703703705</v>
      </c>
      <c r="M24" s="1" cm="1">
        <f t="array" ref="M24">AVERAGE(1-K24:L24)</f>
        <v>0.43262123982987843</v>
      </c>
      <c r="R24" t="s">
        <v>107</v>
      </c>
      <c r="S24" t="s">
        <v>110</v>
      </c>
    </row>
    <row r="25" spans="1:28" x14ac:dyDescent="0.3">
      <c r="I25" s="1">
        <v>0.54647760000000001</v>
      </c>
      <c r="J25">
        <v>8</v>
      </c>
      <c r="K25">
        <v>0.93821650721039862</v>
      </c>
      <c r="L25">
        <v>0.17962962962962964</v>
      </c>
      <c r="M25" s="1" cm="1">
        <f t="array" ref="M25">AVERAGE(1-K25:L25)</f>
        <v>0.4410769315799859</v>
      </c>
      <c r="R25">
        <v>1.1882845188284519</v>
      </c>
      <c r="S25">
        <v>0.93060603177623447</v>
      </c>
    </row>
    <row r="26" spans="1:28" x14ac:dyDescent="0.3">
      <c r="I26" s="1">
        <v>0.54647760000000001</v>
      </c>
      <c r="J26">
        <v>27</v>
      </c>
      <c r="K26">
        <v>0.86815836869257301</v>
      </c>
      <c r="L26">
        <v>0.20018518518518519</v>
      </c>
      <c r="M26" s="1" cm="1">
        <f t="array" ref="M26">AVERAGE(1-K26:L26)</f>
        <v>0.46582822306112087</v>
      </c>
      <c r="R26">
        <v>3.8336820083682008</v>
      </c>
      <c r="S26">
        <v>0.99091428027780426</v>
      </c>
    </row>
    <row r="27" spans="1:28" x14ac:dyDescent="0.3">
      <c r="I27" s="1">
        <v>0.54647760000000001</v>
      </c>
      <c r="J27">
        <v>64</v>
      </c>
      <c r="K27">
        <v>0.70413100111648674</v>
      </c>
      <c r="L27">
        <v>0.2638888888888889</v>
      </c>
      <c r="M27" s="1" cm="1">
        <f t="array" ref="M27">AVERAGE(1-K27:L27)</f>
        <v>0.51599005499731221</v>
      </c>
      <c r="R27">
        <v>4.6485355648535567</v>
      </c>
      <c r="S27">
        <v>1</v>
      </c>
    </row>
    <row r="28" spans="1:28" x14ac:dyDescent="0.3">
      <c r="I28" s="18">
        <v>0.54647760000000001</v>
      </c>
      <c r="J28" s="15">
        <v>125</v>
      </c>
      <c r="K28" s="15">
        <v>0.54647655607348511</v>
      </c>
      <c r="L28" s="15">
        <v>0.38740740740740742</v>
      </c>
      <c r="M28" s="18" cm="1">
        <f t="array" ref="M28">AVERAGE(1-K28:L28)</f>
        <v>0.53305801825955368</v>
      </c>
    </row>
    <row r="29" spans="1:28" x14ac:dyDescent="0.3">
      <c r="I29" s="1">
        <v>0.8061161</v>
      </c>
      <c r="J29">
        <v>1</v>
      </c>
      <c r="K29">
        <v>0.90918828850273747</v>
      </c>
      <c r="L29">
        <v>0.57611111111111113</v>
      </c>
      <c r="M29" s="1" cm="1">
        <f t="array" ref="M29">AVERAGE(1-K29:L29)</f>
        <v>0.2573503001930757</v>
      </c>
    </row>
    <row r="30" spans="1:28" x14ac:dyDescent="0.3">
      <c r="I30" s="18">
        <v>0.8061161</v>
      </c>
      <c r="J30" s="15">
        <v>8</v>
      </c>
      <c r="K30" s="15">
        <v>0.65514581083166179</v>
      </c>
      <c r="L30" s="15">
        <v>0.58611111111111114</v>
      </c>
      <c r="M30" s="18" cm="1">
        <f t="array" ref="M30">AVERAGE(1-K30:L30)</f>
        <v>0.37937153902861354</v>
      </c>
    </row>
    <row r="31" spans="1:28" ht="14.4" customHeight="1" x14ac:dyDescent="0.3">
      <c r="I31" s="19">
        <v>0.8061161</v>
      </c>
      <c r="J31" s="20">
        <v>27</v>
      </c>
      <c r="K31" s="20">
        <v>0.25959031657355702</v>
      </c>
      <c r="L31" s="20">
        <v>0.63185185185185189</v>
      </c>
      <c r="M31" s="30" cm="1">
        <f t="array" ref="M31">AVERAGE(1-K31:L31)</f>
        <v>0.5542789157872956</v>
      </c>
      <c r="O31" s="31" t="s">
        <v>117</v>
      </c>
      <c r="P31" s="31"/>
      <c r="Q31" s="31"/>
      <c r="R31" s="31"/>
      <c r="S31" s="31"/>
      <c r="T31" s="31"/>
      <c r="U31" s="31"/>
      <c r="V31" s="31"/>
      <c r="W31" s="31"/>
      <c r="X31" s="31"/>
      <c r="Y31" s="31"/>
      <c r="Z31" s="31"/>
      <c r="AA31" s="31"/>
      <c r="AB31" s="31"/>
    </row>
    <row r="32" spans="1:28" x14ac:dyDescent="0.3">
      <c r="I32" s="1">
        <v>0.8061161</v>
      </c>
      <c r="J32">
        <v>64</v>
      </c>
      <c r="K32">
        <v>0.23623623623623624</v>
      </c>
      <c r="L32">
        <v>0.71740740740740738</v>
      </c>
      <c r="M32" s="1" cm="1">
        <f t="array" ref="M32">AVERAGE(1-K32:L32)</f>
        <v>0.52317817817817813</v>
      </c>
      <c r="O32" s="31"/>
      <c r="P32" s="31"/>
      <c r="Q32" s="31"/>
      <c r="R32" s="31"/>
      <c r="S32" s="31"/>
      <c r="T32" s="31"/>
      <c r="U32" s="31"/>
      <c r="V32" s="31"/>
      <c r="W32" s="31"/>
      <c r="X32" s="31"/>
      <c r="Y32" s="31"/>
      <c r="Z32" s="31"/>
      <c r="AA32" s="31"/>
      <c r="AB32" s="31"/>
    </row>
    <row r="33" spans="7:28" x14ac:dyDescent="0.3">
      <c r="I33" s="1">
        <v>0.8061161</v>
      </c>
      <c r="J33">
        <v>125</v>
      </c>
      <c r="K33">
        <v>0.18429319371727748</v>
      </c>
      <c r="L33">
        <v>0.85574074074074069</v>
      </c>
      <c r="M33" s="1" cm="1">
        <f t="array" ref="M33">AVERAGE(1-K33:L33)</f>
        <v>0.47998303277099091</v>
      </c>
      <c r="O33" s="31"/>
      <c r="P33" s="31"/>
      <c r="Q33" s="31"/>
      <c r="R33" s="31"/>
      <c r="S33" s="31"/>
      <c r="T33" s="31"/>
      <c r="U33" s="31"/>
      <c r="V33" s="31"/>
      <c r="W33" s="31"/>
      <c r="X33" s="31"/>
      <c r="Y33" s="31"/>
      <c r="Z33" s="31"/>
      <c r="AA33" s="31"/>
      <c r="AB33" s="31"/>
    </row>
    <row r="34" spans="7:28" x14ac:dyDescent="0.3">
      <c r="I34" s="1">
        <v>0.94959170000000004</v>
      </c>
      <c r="J34">
        <v>1</v>
      </c>
      <c r="K34">
        <v>0.93394719533965986</v>
      </c>
      <c r="L34">
        <v>0.86981481481481482</v>
      </c>
      <c r="M34" s="1" cm="1">
        <f t="array" ref="M34">AVERAGE(1-K34:L34)</f>
        <v>9.8118994922762659E-2</v>
      </c>
      <c r="O34" s="31"/>
      <c r="P34" s="31"/>
      <c r="Q34" s="31"/>
      <c r="R34" s="31"/>
      <c r="S34" s="31"/>
      <c r="T34" s="31"/>
      <c r="U34" s="31"/>
      <c r="V34" s="31"/>
      <c r="W34" s="31"/>
      <c r="X34" s="31"/>
      <c r="Y34" s="31"/>
      <c r="Z34" s="31"/>
      <c r="AA34" s="31"/>
      <c r="AB34" s="31"/>
    </row>
    <row r="35" spans="7:28" x14ac:dyDescent="0.3">
      <c r="I35" s="1">
        <v>0.94959170000000004</v>
      </c>
      <c r="J35">
        <v>8</v>
      </c>
      <c r="K35">
        <v>0.52485380116959068</v>
      </c>
      <c r="L35">
        <v>0.87962962962962965</v>
      </c>
      <c r="M35" s="1" cm="1">
        <f t="array" ref="M35">AVERAGE(1-K35:L35)</f>
        <v>0.29775828460038983</v>
      </c>
      <c r="O35" s="31"/>
      <c r="P35" s="31"/>
      <c r="Q35" s="31"/>
      <c r="R35" s="31"/>
      <c r="S35" s="31"/>
      <c r="T35" s="31"/>
      <c r="U35" s="31"/>
      <c r="V35" s="31"/>
      <c r="W35" s="31"/>
      <c r="X35" s="31"/>
      <c r="Y35" s="31"/>
      <c r="Z35" s="31"/>
      <c r="AA35" s="31"/>
      <c r="AB35" s="31"/>
    </row>
    <row r="36" spans="7:28" x14ac:dyDescent="0.3">
      <c r="I36" s="1">
        <v>0.94959170000000004</v>
      </c>
      <c r="J36">
        <v>27</v>
      </c>
      <c r="K36">
        <v>0.22831050228310501</v>
      </c>
      <c r="L36">
        <v>0.90611111111111109</v>
      </c>
      <c r="M36" s="1" cm="1">
        <f t="array" ref="M36">AVERAGE(1-K36:L36)</f>
        <v>0.43278919330289195</v>
      </c>
      <c r="O36" s="31"/>
      <c r="P36" s="31"/>
      <c r="Q36" s="31"/>
      <c r="R36" s="31"/>
      <c r="S36" s="31"/>
      <c r="T36" s="31"/>
      <c r="U36" s="31"/>
      <c r="V36" s="31"/>
      <c r="W36" s="31"/>
      <c r="X36" s="31"/>
      <c r="Y36" s="31"/>
      <c r="Z36" s="31"/>
      <c r="AA36" s="31"/>
      <c r="AB36" s="31"/>
    </row>
    <row r="37" spans="7:28" x14ac:dyDescent="0.3">
      <c r="I37" s="1">
        <v>0.94959170000000004</v>
      </c>
      <c r="J37">
        <v>64</v>
      </c>
      <c r="K37">
        <v>0.19806763285024154</v>
      </c>
      <c r="L37">
        <v>0.96925925925925926</v>
      </c>
      <c r="M37" s="1" cm="1">
        <f t="array" ref="M37">AVERAGE(1-K37:L37)</f>
        <v>0.4163365539452496</v>
      </c>
      <c r="O37" s="31"/>
      <c r="P37" s="31"/>
      <c r="Q37" s="31"/>
      <c r="R37" s="31"/>
      <c r="S37" s="31"/>
      <c r="T37" s="31"/>
      <c r="U37" s="31"/>
      <c r="V37" s="31"/>
      <c r="W37" s="31"/>
      <c r="X37" s="31"/>
      <c r="Y37" s="31"/>
      <c r="Z37" s="31"/>
      <c r="AA37" s="31"/>
      <c r="AB37" s="31"/>
    </row>
    <row r="38" spans="7:28" x14ac:dyDescent="0.3">
      <c r="I38" s="1">
        <v>0.94959170000000004</v>
      </c>
      <c r="J38">
        <v>125</v>
      </c>
      <c r="K38">
        <v>0</v>
      </c>
      <c r="L38" s="1">
        <v>1</v>
      </c>
      <c r="M38" s="1" cm="1">
        <f t="array" ref="M38">AVERAGE(1-K38:L38)</f>
        <v>0.5</v>
      </c>
      <c r="O38" s="31"/>
      <c r="P38" s="31"/>
      <c r="Q38" s="31"/>
      <c r="R38" s="31"/>
      <c r="S38" s="31"/>
      <c r="T38" s="31"/>
      <c r="U38" s="31"/>
      <c r="V38" s="31"/>
      <c r="W38" s="31"/>
      <c r="X38" s="31"/>
      <c r="Y38" s="31"/>
      <c r="Z38" s="31"/>
      <c r="AA38" s="31"/>
      <c r="AB38" s="31"/>
    </row>
    <row r="39" spans="7:28" x14ac:dyDescent="0.3">
      <c r="K39" s="1"/>
    </row>
    <row r="42" spans="7:28" x14ac:dyDescent="0.3">
      <c r="G42" t="s">
        <v>126</v>
      </c>
    </row>
    <row r="43" spans="7:28" x14ac:dyDescent="0.3">
      <c r="H43" t="s">
        <v>6</v>
      </c>
    </row>
    <row r="44" spans="7:28" x14ac:dyDescent="0.3">
      <c r="H44">
        <v>2033600</v>
      </c>
      <c r="I44">
        <v>0.05</v>
      </c>
    </row>
    <row r="59" spans="15:19" x14ac:dyDescent="0.3">
      <c r="O59" t="s">
        <v>129</v>
      </c>
      <c r="P59" t="s">
        <v>130</v>
      </c>
      <c r="Q59" t="s">
        <v>120</v>
      </c>
      <c r="R59" t="s">
        <v>131</v>
      </c>
      <c r="S59" t="s">
        <v>101</v>
      </c>
    </row>
    <row r="60" spans="15:19" x14ac:dyDescent="0.3">
      <c r="O60" t="s">
        <v>128</v>
      </c>
      <c r="P60" t="s">
        <v>127</v>
      </c>
    </row>
    <row r="61" spans="15:19" x14ac:dyDescent="0.3">
      <c r="O61" cm="1">
        <f t="array" ref="O61:O110">_xlfn.SEQUENCE(50,1,0,1/50)</f>
        <v>0</v>
      </c>
      <c r="P61" t="e">
        <f>-0.461*LOG(O61)+0.124</f>
        <v>#NUM!</v>
      </c>
    </row>
    <row r="62" spans="15:19" x14ac:dyDescent="0.3">
      <c r="O62">
        <v>0.02</v>
      </c>
      <c r="P62">
        <f t="shared" ref="P62:P110" si="12">-0.461*LOG(O62)+0.124</f>
        <v>0.90722517199890462</v>
      </c>
      <c r="Q62">
        <f>1-O62</f>
        <v>0.98</v>
      </c>
      <c r="R62">
        <f>1-P62</f>
        <v>9.2774828001095377E-2</v>
      </c>
      <c r="S62">
        <f>(1-P62)+(1-O62)-1</f>
        <v>7.277482800109536E-2</v>
      </c>
    </row>
    <row r="63" spans="15:19" x14ac:dyDescent="0.3">
      <c r="O63">
        <v>0.04</v>
      </c>
      <c r="P63">
        <f t="shared" si="12"/>
        <v>0.76845034399780932</v>
      </c>
      <c r="Q63">
        <f t="shared" ref="Q63:Q110" si="13">1-O63</f>
        <v>0.96</v>
      </c>
      <c r="R63">
        <f t="shared" ref="R63:R110" si="14">1-P63</f>
        <v>0.23154965600219068</v>
      </c>
      <c r="S63">
        <f>(1-P63)+(1-O63)-1</f>
        <v>0.19154965600219054</v>
      </c>
    </row>
    <row r="64" spans="15:19" x14ac:dyDescent="0.3">
      <c r="O64">
        <v>0.06</v>
      </c>
      <c r="P64">
        <f t="shared" si="12"/>
        <v>0.68727227357314036</v>
      </c>
      <c r="Q64">
        <f t="shared" si="13"/>
        <v>0.94</v>
      </c>
      <c r="R64">
        <f t="shared" si="14"/>
        <v>0.31272772642685964</v>
      </c>
      <c r="S64">
        <f>(1-P64)+(1-O64)-1</f>
        <v>0.2527277264268597</v>
      </c>
    </row>
    <row r="65" spans="15:19" x14ac:dyDescent="0.3">
      <c r="O65">
        <v>0.08</v>
      </c>
      <c r="P65">
        <f t="shared" si="12"/>
        <v>0.62967551599671401</v>
      </c>
      <c r="Q65">
        <f t="shared" si="13"/>
        <v>0.92</v>
      </c>
      <c r="R65">
        <f t="shared" si="14"/>
        <v>0.37032448400328599</v>
      </c>
      <c r="S65">
        <f>(1-P65)+(1-O65)-1</f>
        <v>0.29032448400328592</v>
      </c>
    </row>
    <row r="66" spans="15:19" x14ac:dyDescent="0.3">
      <c r="O66">
        <v>0.1</v>
      </c>
      <c r="P66">
        <f t="shared" si="12"/>
        <v>0.58499999999999996</v>
      </c>
      <c r="Q66">
        <f t="shared" si="13"/>
        <v>0.9</v>
      </c>
      <c r="R66">
        <f t="shared" si="14"/>
        <v>0.41500000000000004</v>
      </c>
      <c r="S66">
        <f>(1-P66)+(1-O66)-1</f>
        <v>0.31499999999999995</v>
      </c>
    </row>
    <row r="67" spans="15:19" x14ac:dyDescent="0.3">
      <c r="O67">
        <v>0.12000000000000001</v>
      </c>
      <c r="P67">
        <f t="shared" si="12"/>
        <v>0.54849744557204494</v>
      </c>
      <c r="Q67">
        <f t="shared" si="13"/>
        <v>0.88</v>
      </c>
      <c r="R67">
        <f t="shared" si="14"/>
        <v>0.45150255442795506</v>
      </c>
      <c r="S67">
        <f>(1-P67)+(1-O67)-1</f>
        <v>0.33150255442795507</v>
      </c>
    </row>
    <row r="68" spans="15:19" x14ac:dyDescent="0.3">
      <c r="O68">
        <v>0.14000000000000001</v>
      </c>
      <c r="P68">
        <f t="shared" si="12"/>
        <v>0.51763497555233229</v>
      </c>
      <c r="Q68">
        <f t="shared" si="13"/>
        <v>0.86</v>
      </c>
      <c r="R68">
        <f t="shared" si="14"/>
        <v>0.48236502444766771</v>
      </c>
      <c r="S68">
        <f>(1-P68)+(1-O68)-1</f>
        <v>0.3423650244476677</v>
      </c>
    </row>
    <row r="69" spans="15:19" x14ac:dyDescent="0.3">
      <c r="O69">
        <v>0.16</v>
      </c>
      <c r="P69">
        <f t="shared" si="12"/>
        <v>0.4909006879956187</v>
      </c>
      <c r="Q69">
        <f t="shared" si="13"/>
        <v>0.84</v>
      </c>
      <c r="R69">
        <f t="shared" si="14"/>
        <v>0.5090993120043813</v>
      </c>
      <c r="S69">
        <f>(1-P69)+(1-O69)-1</f>
        <v>0.34909931200438127</v>
      </c>
    </row>
    <row r="70" spans="15:19" x14ac:dyDescent="0.3">
      <c r="O70" s="15">
        <v>0.18</v>
      </c>
      <c r="P70" s="15">
        <f t="shared" si="12"/>
        <v>0.46731937514737593</v>
      </c>
      <c r="Q70" s="15">
        <f t="shared" si="13"/>
        <v>0.82000000000000006</v>
      </c>
      <c r="R70" s="15">
        <f t="shared" si="14"/>
        <v>0.53268062485262413</v>
      </c>
      <c r="S70" s="15">
        <f>(1-P70)+(1-O70)-1</f>
        <v>0.35268062485262419</v>
      </c>
    </row>
    <row r="71" spans="15:19" ht="18" x14ac:dyDescent="0.35">
      <c r="O71" s="34">
        <v>0.19999999999999998</v>
      </c>
      <c r="P71" s="34">
        <f t="shared" si="12"/>
        <v>0.44622517199890471</v>
      </c>
      <c r="Q71" s="33">
        <f t="shared" si="13"/>
        <v>0.8</v>
      </c>
      <c r="R71" s="33">
        <f t="shared" si="14"/>
        <v>0.55377482800109523</v>
      </c>
      <c r="S71" s="34">
        <f>(1-P71)+(1-O71)-1</f>
        <v>0.35377482800109528</v>
      </c>
    </row>
    <row r="72" spans="15:19" x14ac:dyDescent="0.3">
      <c r="O72" s="15">
        <v>0.21999999999999997</v>
      </c>
      <c r="P72" s="15">
        <f t="shared" si="12"/>
        <v>0.42714314414096299</v>
      </c>
      <c r="Q72" s="15">
        <f t="shared" si="13"/>
        <v>0.78</v>
      </c>
      <c r="R72" s="15">
        <f t="shared" si="14"/>
        <v>0.57285685585903701</v>
      </c>
      <c r="S72" s="15">
        <f>(1-P72)+(1-O72)-1</f>
        <v>0.35285685585903703</v>
      </c>
    </row>
    <row r="73" spans="15:19" x14ac:dyDescent="0.3">
      <c r="O73" s="15">
        <v>0.23999999999999996</v>
      </c>
      <c r="P73" s="15">
        <f t="shared" si="12"/>
        <v>0.40972261757094969</v>
      </c>
      <c r="Q73" s="15">
        <f t="shared" si="13"/>
        <v>0.76</v>
      </c>
      <c r="R73" s="15">
        <f t="shared" si="14"/>
        <v>0.59027738242905037</v>
      </c>
      <c r="S73" s="15">
        <f>(1-P73)+(1-O73)-1</f>
        <v>0.35027738242905038</v>
      </c>
    </row>
    <row r="74" spans="15:19" x14ac:dyDescent="0.3">
      <c r="O74">
        <v>0.25999999999999995</v>
      </c>
      <c r="P74">
        <f t="shared" si="12"/>
        <v>0.393697286585453</v>
      </c>
      <c r="Q74">
        <f t="shared" si="13"/>
        <v>0.74</v>
      </c>
      <c r="R74">
        <f t="shared" si="14"/>
        <v>0.606302713414547</v>
      </c>
      <c r="S74">
        <f>(1-P74)+(1-O74)-1</f>
        <v>0.3463027134145471</v>
      </c>
    </row>
    <row r="75" spans="15:19" x14ac:dyDescent="0.3">
      <c r="O75">
        <v>0.27999999999999997</v>
      </c>
      <c r="P75">
        <f t="shared" si="12"/>
        <v>0.37886014755123698</v>
      </c>
      <c r="Q75">
        <f t="shared" si="13"/>
        <v>0.72</v>
      </c>
      <c r="R75">
        <f t="shared" si="14"/>
        <v>0.62113985244876302</v>
      </c>
      <c r="S75">
        <f>(1-P75)+(1-O75)-1</f>
        <v>0.34113985244876299</v>
      </c>
    </row>
    <row r="76" spans="15:19" x14ac:dyDescent="0.3">
      <c r="O76">
        <v>0.3</v>
      </c>
      <c r="P76">
        <f t="shared" si="12"/>
        <v>0.36504710157423564</v>
      </c>
      <c r="Q76">
        <f t="shared" si="13"/>
        <v>0.7</v>
      </c>
      <c r="R76">
        <f t="shared" si="14"/>
        <v>0.63495289842576441</v>
      </c>
      <c r="S76">
        <f>(1-P76)+(1-O76)-1</f>
        <v>0.33495289842576437</v>
      </c>
    </row>
    <row r="77" spans="15:19" x14ac:dyDescent="0.3">
      <c r="O77">
        <v>0.32</v>
      </c>
      <c r="P77">
        <f t="shared" si="12"/>
        <v>0.35212585999452334</v>
      </c>
      <c r="Q77">
        <f t="shared" si="13"/>
        <v>0.67999999999999994</v>
      </c>
      <c r="R77">
        <f t="shared" si="14"/>
        <v>0.64787414000547661</v>
      </c>
      <c r="S77">
        <f>(1-P77)+(1-O77)-1</f>
        <v>0.32787414000547654</v>
      </c>
    </row>
    <row r="78" spans="15:19" x14ac:dyDescent="0.3">
      <c r="O78">
        <v>0.34</v>
      </c>
      <c r="P78">
        <f t="shared" si="12"/>
        <v>0.33998821924352041</v>
      </c>
      <c r="Q78">
        <f t="shared" si="13"/>
        <v>0.65999999999999992</v>
      </c>
      <c r="R78">
        <f t="shared" si="14"/>
        <v>0.66001178075647959</v>
      </c>
      <c r="S78">
        <f>(1-P78)+(1-O78)-1</f>
        <v>0.32001178075647951</v>
      </c>
    </row>
    <row r="79" spans="15:19" x14ac:dyDescent="0.3">
      <c r="O79">
        <v>0.36000000000000004</v>
      </c>
      <c r="P79">
        <f t="shared" si="12"/>
        <v>0.32854454714628056</v>
      </c>
      <c r="Q79">
        <f t="shared" si="13"/>
        <v>0.6399999999999999</v>
      </c>
      <c r="R79">
        <f t="shared" si="14"/>
        <v>0.67145545285371944</v>
      </c>
      <c r="S79">
        <f>(1-P79)+(1-O79)-1</f>
        <v>0.31145545285371945</v>
      </c>
    </row>
    <row r="80" spans="15:19" x14ac:dyDescent="0.3">
      <c r="O80">
        <v>0.38000000000000006</v>
      </c>
      <c r="P80">
        <f t="shared" si="12"/>
        <v>0.31771976195965046</v>
      </c>
      <c r="Q80">
        <f t="shared" si="13"/>
        <v>0.61999999999999988</v>
      </c>
      <c r="R80">
        <f t="shared" si="14"/>
        <v>0.68228023804034954</v>
      </c>
      <c r="S80">
        <f>(1-P80)+(1-O80)-1</f>
        <v>0.30228023804034931</v>
      </c>
    </row>
    <row r="81" spans="15:19" x14ac:dyDescent="0.3">
      <c r="O81">
        <v>0.40000000000000008</v>
      </c>
      <c r="P81">
        <f t="shared" si="12"/>
        <v>0.30745034399780935</v>
      </c>
      <c r="Q81">
        <f t="shared" si="13"/>
        <v>0.59999999999999987</v>
      </c>
      <c r="R81">
        <f t="shared" si="14"/>
        <v>0.69254965600219065</v>
      </c>
      <c r="S81">
        <f>(1-P81)+(1-O81)-1</f>
        <v>0.29254965600219052</v>
      </c>
    </row>
    <row r="82" spans="15:19" x14ac:dyDescent="0.3">
      <c r="O82">
        <v>0.4200000000000001</v>
      </c>
      <c r="P82">
        <f t="shared" si="12"/>
        <v>0.29768207712656786</v>
      </c>
      <c r="Q82">
        <f t="shared" si="13"/>
        <v>0.57999999999999985</v>
      </c>
      <c r="R82">
        <f t="shared" si="14"/>
        <v>0.7023179228734322</v>
      </c>
      <c r="S82">
        <f>(1-P82)+(1-O82)-1</f>
        <v>0.28231792287343205</v>
      </c>
    </row>
    <row r="83" spans="15:19" x14ac:dyDescent="0.3">
      <c r="O83">
        <v>0.44000000000000011</v>
      </c>
      <c r="P83">
        <f t="shared" si="12"/>
        <v>0.28836831613986758</v>
      </c>
      <c r="Q83">
        <f t="shared" si="13"/>
        <v>0.55999999999999983</v>
      </c>
      <c r="R83">
        <f t="shared" si="14"/>
        <v>0.71163168386013242</v>
      </c>
      <c r="S83">
        <f>(1-P83)+(1-O83)-1</f>
        <v>0.27163168386013226</v>
      </c>
    </row>
    <row r="84" spans="15:19" x14ac:dyDescent="0.3">
      <c r="O84">
        <v>0.46000000000000013</v>
      </c>
      <c r="P84">
        <f t="shared" si="12"/>
        <v>0.27946863959479429</v>
      </c>
      <c r="Q84">
        <f t="shared" si="13"/>
        <v>0.53999999999999981</v>
      </c>
      <c r="R84">
        <f t="shared" si="14"/>
        <v>0.72053136040520571</v>
      </c>
      <c r="S84">
        <f>(1-P84)+(1-O84)-1</f>
        <v>0.26053136040520553</v>
      </c>
    </row>
    <row r="85" spans="15:19" x14ac:dyDescent="0.3">
      <c r="O85">
        <v>0.48000000000000015</v>
      </c>
      <c r="P85">
        <f t="shared" si="12"/>
        <v>0.27094778956985421</v>
      </c>
      <c r="Q85">
        <f t="shared" si="13"/>
        <v>0.5199999999999998</v>
      </c>
      <c r="R85">
        <f t="shared" si="14"/>
        <v>0.72905221043014579</v>
      </c>
      <c r="S85">
        <f>(1-P85)+(1-O85)-1</f>
        <v>0.24905221043014558</v>
      </c>
    </row>
    <row r="86" spans="15:19" x14ac:dyDescent="0.3">
      <c r="O86">
        <v>0.50000000000000011</v>
      </c>
      <c r="P86">
        <f t="shared" si="12"/>
        <v>0.26277482800109531</v>
      </c>
      <c r="Q86">
        <f t="shared" si="13"/>
        <v>0.49999999999999989</v>
      </c>
      <c r="R86">
        <f t="shared" si="14"/>
        <v>0.73722517199890469</v>
      </c>
      <c r="S86">
        <f>(1-P86)+(1-O86)-1</f>
        <v>0.23722517199890447</v>
      </c>
    </row>
    <row r="87" spans="15:19" x14ac:dyDescent="0.3">
      <c r="O87">
        <v>0.52000000000000013</v>
      </c>
      <c r="P87">
        <f t="shared" si="12"/>
        <v>0.25492245858435753</v>
      </c>
      <c r="Q87">
        <f t="shared" si="13"/>
        <v>0.47999999999999987</v>
      </c>
      <c r="R87">
        <f t="shared" si="14"/>
        <v>0.74507754141564253</v>
      </c>
      <c r="S87">
        <f>(1-P87)+(1-O87)-1</f>
        <v>0.22507754141564229</v>
      </c>
    </row>
    <row r="88" spans="15:19" x14ac:dyDescent="0.3">
      <c r="O88">
        <v>0.54000000000000015</v>
      </c>
      <c r="P88">
        <f t="shared" si="12"/>
        <v>0.24736647672161147</v>
      </c>
      <c r="Q88">
        <f t="shared" si="13"/>
        <v>0.45999999999999985</v>
      </c>
      <c r="R88">
        <f t="shared" si="14"/>
        <v>0.75263352327838851</v>
      </c>
      <c r="S88">
        <f>(1-P88)+(1-O88)-1</f>
        <v>0.21263352327838847</v>
      </c>
    </row>
    <row r="89" spans="15:19" x14ac:dyDescent="0.3">
      <c r="O89">
        <v>0.56000000000000016</v>
      </c>
      <c r="P89">
        <f t="shared" si="12"/>
        <v>0.24008531955014156</v>
      </c>
      <c r="Q89">
        <f t="shared" si="13"/>
        <v>0.43999999999999984</v>
      </c>
      <c r="R89">
        <f t="shared" si="14"/>
        <v>0.75991468044985844</v>
      </c>
      <c r="S89">
        <f>(1-P89)+(1-O89)-1</f>
        <v>0.19991468044985838</v>
      </c>
    </row>
    <row r="90" spans="15:19" x14ac:dyDescent="0.3">
      <c r="O90">
        <v>0.58000000000000018</v>
      </c>
      <c r="P90">
        <f t="shared" si="12"/>
        <v>0.23305969496748585</v>
      </c>
      <c r="Q90">
        <f t="shared" si="13"/>
        <v>0.41999999999999982</v>
      </c>
      <c r="R90">
        <f t="shared" si="14"/>
        <v>0.76694030503251409</v>
      </c>
      <c r="S90">
        <f>(1-P90)+(1-O90)-1</f>
        <v>0.1869403050325138</v>
      </c>
    </row>
    <row r="91" spans="15:19" x14ac:dyDescent="0.3">
      <c r="O91">
        <v>0.6000000000000002</v>
      </c>
      <c r="P91">
        <f t="shared" si="12"/>
        <v>0.22627227357314023</v>
      </c>
      <c r="Q91">
        <f t="shared" si="13"/>
        <v>0.3999999999999998</v>
      </c>
      <c r="R91">
        <f t="shared" si="14"/>
        <v>0.77372772642685983</v>
      </c>
      <c r="S91">
        <f>(1-P91)+(1-O91)-1</f>
        <v>0.17372772642685952</v>
      </c>
    </row>
    <row r="92" spans="15:19" x14ac:dyDescent="0.3">
      <c r="O92">
        <v>0.62000000000000022</v>
      </c>
      <c r="P92">
        <f t="shared" si="12"/>
        <v>0.21970743114130489</v>
      </c>
      <c r="Q92">
        <f t="shared" si="13"/>
        <v>0.37999999999999978</v>
      </c>
      <c r="R92">
        <f t="shared" si="14"/>
        <v>0.78029256885869513</v>
      </c>
      <c r="S92">
        <f>(1-P92)+(1-O92)-1</f>
        <v>0.16029256885869492</v>
      </c>
    </row>
    <row r="93" spans="15:19" x14ac:dyDescent="0.3">
      <c r="O93">
        <v>0.64000000000000024</v>
      </c>
      <c r="P93">
        <f t="shared" si="12"/>
        <v>0.21335103199342795</v>
      </c>
      <c r="Q93">
        <f t="shared" si="13"/>
        <v>0.35999999999999976</v>
      </c>
      <c r="R93">
        <f t="shared" si="14"/>
        <v>0.78664896800657202</v>
      </c>
      <c r="S93">
        <f>(1-P93)+(1-O93)-1</f>
        <v>0.14664896800657168</v>
      </c>
    </row>
    <row r="94" spans="15:19" x14ac:dyDescent="0.3">
      <c r="O94">
        <v>0.66000000000000025</v>
      </c>
      <c r="P94">
        <f t="shared" si="12"/>
        <v>0.20719024571519848</v>
      </c>
      <c r="Q94">
        <f t="shared" si="13"/>
        <v>0.33999999999999975</v>
      </c>
      <c r="R94">
        <f t="shared" si="14"/>
        <v>0.79280975428480149</v>
      </c>
      <c r="S94">
        <f>(1-P94)+(1-O94)-1</f>
        <v>0.13280975428480124</v>
      </c>
    </row>
    <row r="95" spans="15:19" x14ac:dyDescent="0.3">
      <c r="O95">
        <v>0.68000000000000027</v>
      </c>
      <c r="P95">
        <f t="shared" si="12"/>
        <v>0.20121339124242499</v>
      </c>
      <c r="Q95">
        <f t="shared" si="13"/>
        <v>0.31999999999999973</v>
      </c>
      <c r="R95">
        <f t="shared" si="14"/>
        <v>0.79878660875757501</v>
      </c>
      <c r="S95">
        <f>(1-P95)+(1-O95)-1</f>
        <v>0.11878660875757463</v>
      </c>
    </row>
    <row r="96" spans="15:19" x14ac:dyDescent="0.3">
      <c r="O96">
        <v>0.70000000000000029</v>
      </c>
      <c r="P96">
        <f t="shared" si="12"/>
        <v>0.19540980355342752</v>
      </c>
      <c r="Q96">
        <f t="shared" si="13"/>
        <v>0.29999999999999971</v>
      </c>
      <c r="R96">
        <f t="shared" si="14"/>
        <v>0.80459019644657248</v>
      </c>
      <c r="S96">
        <f>(1-P96)+(1-O96)-1</f>
        <v>0.1045901964465723</v>
      </c>
    </row>
    <row r="97" spans="15:19" x14ac:dyDescent="0.3">
      <c r="O97">
        <v>0.72000000000000031</v>
      </c>
      <c r="P97">
        <f t="shared" si="12"/>
        <v>0.18976971914518515</v>
      </c>
      <c r="Q97">
        <f t="shared" si="13"/>
        <v>0.27999999999999969</v>
      </c>
      <c r="R97">
        <f t="shared" si="14"/>
        <v>0.81023028085481485</v>
      </c>
      <c r="S97">
        <f>(1-P97)+(1-O97)-1</f>
        <v>9.0230280854814549E-2</v>
      </c>
    </row>
    <row r="98" spans="15:19" x14ac:dyDescent="0.3">
      <c r="O98">
        <v>0.74000000000000032</v>
      </c>
      <c r="P98">
        <f t="shared" si="12"/>
        <v>0.18428417720401991</v>
      </c>
      <c r="Q98">
        <f t="shared" si="13"/>
        <v>0.25999999999999968</v>
      </c>
      <c r="R98">
        <f t="shared" si="14"/>
        <v>0.81571582279598009</v>
      </c>
      <c r="S98">
        <f>(1-P98)+(1-O98)-1</f>
        <v>7.571582279597977E-2</v>
      </c>
    </row>
    <row r="99" spans="15:19" x14ac:dyDescent="0.3">
      <c r="O99">
        <v>0.76000000000000034</v>
      </c>
      <c r="P99">
        <f t="shared" si="12"/>
        <v>0.1789449339585551</v>
      </c>
      <c r="Q99">
        <f t="shared" si="13"/>
        <v>0.23999999999999966</v>
      </c>
      <c r="R99">
        <f t="shared" si="14"/>
        <v>0.82105506604144485</v>
      </c>
      <c r="S99">
        <f>(1-P99)+(1-O99)-1</f>
        <v>6.1055066041444395E-2</v>
      </c>
    </row>
    <row r="100" spans="15:19" x14ac:dyDescent="0.3">
      <c r="O100">
        <v>0.78000000000000036</v>
      </c>
      <c r="P100">
        <f t="shared" si="12"/>
        <v>0.17374438815968846</v>
      </c>
      <c r="Q100">
        <f t="shared" si="13"/>
        <v>0.21999999999999964</v>
      </c>
      <c r="R100">
        <f t="shared" si="14"/>
        <v>0.82625561184031149</v>
      </c>
      <c r="S100">
        <f>(1-P100)+(1-O100)-1</f>
        <v>4.6255611840311239E-2</v>
      </c>
    </row>
    <row r="101" spans="15:19" x14ac:dyDescent="0.3">
      <c r="O101">
        <v>0.80000000000000038</v>
      </c>
      <c r="P101">
        <f t="shared" si="12"/>
        <v>0.16867551599671393</v>
      </c>
      <c r="Q101">
        <f t="shared" si="13"/>
        <v>0.19999999999999962</v>
      </c>
      <c r="R101">
        <f t="shared" si="14"/>
        <v>0.83132448400328607</v>
      </c>
      <c r="S101">
        <f>(1-P101)+(1-O101)-1</f>
        <v>3.132448400328558E-2</v>
      </c>
    </row>
    <row r="102" spans="15:19" x14ac:dyDescent="0.3">
      <c r="O102">
        <v>0.8200000000000004</v>
      </c>
      <c r="P102">
        <f t="shared" si="12"/>
        <v>0.16373181405110651</v>
      </c>
      <c r="Q102">
        <f t="shared" si="13"/>
        <v>0.1799999999999996</v>
      </c>
      <c r="R102">
        <f t="shared" si="14"/>
        <v>0.83626818594889352</v>
      </c>
      <c r="S102">
        <f>(1-P102)+(1-O102)-1</f>
        <v>1.6268185948893121E-2</v>
      </c>
    </row>
    <row r="103" spans="15:19" x14ac:dyDescent="0.3">
      <c r="O103">
        <v>0.84000000000000041</v>
      </c>
      <c r="P103">
        <f t="shared" si="12"/>
        <v>0.15890724912547247</v>
      </c>
      <c r="Q103">
        <f t="shared" si="13"/>
        <v>0.15999999999999959</v>
      </c>
      <c r="R103">
        <f t="shared" si="14"/>
        <v>0.84109275087452751</v>
      </c>
      <c r="S103">
        <f>(1-P103)+(1-O103)-1</f>
        <v>1.0927508745270931E-3</v>
      </c>
    </row>
    <row r="104" spans="15:19" x14ac:dyDescent="0.3">
      <c r="O104">
        <v>0.86000000000000043</v>
      </c>
      <c r="P104">
        <f t="shared" si="12"/>
        <v>0.15419621397671518</v>
      </c>
      <c r="Q104">
        <f t="shared" si="13"/>
        <v>0.13999999999999957</v>
      </c>
      <c r="R104">
        <f t="shared" si="14"/>
        <v>0.84580378602328476</v>
      </c>
      <c r="S104">
        <f>(1-P104)+(1-O104)-1</f>
        <v>-1.4196213976715666E-2</v>
      </c>
    </row>
    <row r="105" spans="15:19" x14ac:dyDescent="0.3">
      <c r="O105">
        <v>0.88000000000000045</v>
      </c>
      <c r="P105">
        <f t="shared" si="12"/>
        <v>0.14959348813877216</v>
      </c>
      <c r="Q105">
        <f t="shared" si="13"/>
        <v>0.11999999999999955</v>
      </c>
      <c r="R105">
        <f t="shared" si="14"/>
        <v>0.85040651186122784</v>
      </c>
      <c r="S105">
        <f>(1-P105)+(1-O105)-1</f>
        <v>-2.9593488138772606E-2</v>
      </c>
    </row>
    <row r="106" spans="15:19" x14ac:dyDescent="0.3">
      <c r="O106">
        <v>0.90000000000000047</v>
      </c>
      <c r="P106">
        <f t="shared" si="12"/>
        <v>0.14509420314847113</v>
      </c>
      <c r="Q106">
        <f t="shared" si="13"/>
        <v>9.9999999999999534E-2</v>
      </c>
      <c r="R106">
        <f t="shared" si="14"/>
        <v>0.8549057968515289</v>
      </c>
      <c r="S106">
        <f>(1-P106)+(1-O106)-1</f>
        <v>-4.5094203148471568E-2</v>
      </c>
    </row>
    <row r="107" spans="15:19" x14ac:dyDescent="0.3">
      <c r="O107">
        <v>0.92000000000000048</v>
      </c>
      <c r="P107">
        <f t="shared" si="12"/>
        <v>0.14069381159369893</v>
      </c>
      <c r="Q107">
        <f t="shared" si="13"/>
        <v>7.9999999999999516E-2</v>
      </c>
      <c r="R107">
        <f t="shared" si="14"/>
        <v>0.85930618840630113</v>
      </c>
      <c r="S107">
        <f>(1-P107)+(1-O107)-1</f>
        <v>-6.0693811593699354E-2</v>
      </c>
    </row>
    <row r="108" spans="15:19" x14ac:dyDescent="0.3">
      <c r="O108">
        <v>0.9400000000000005</v>
      </c>
      <c r="P108">
        <f t="shared" si="12"/>
        <v>0.13638805949053881</v>
      </c>
      <c r="Q108">
        <f t="shared" si="13"/>
        <v>5.9999999999999498E-2</v>
      </c>
      <c r="R108">
        <f t="shared" si="14"/>
        <v>0.86361194050946122</v>
      </c>
      <c r="S108">
        <f>(1-P108)+(1-O108)-1</f>
        <v>-7.6388059490539284E-2</v>
      </c>
    </row>
    <row r="109" spans="15:19" x14ac:dyDescent="0.3">
      <c r="O109">
        <v>0.96000000000000052</v>
      </c>
      <c r="P109">
        <f t="shared" si="12"/>
        <v>0.13217296156875885</v>
      </c>
      <c r="Q109">
        <f t="shared" si="13"/>
        <v>3.999999999999948E-2</v>
      </c>
      <c r="R109">
        <f t="shared" si="14"/>
        <v>0.8678270384312412</v>
      </c>
      <c r="S109">
        <f>(1-P109)+(1-O109)-1</f>
        <v>-9.2172961568759315E-2</v>
      </c>
    </row>
    <row r="110" spans="15:19" x14ac:dyDescent="0.3">
      <c r="O110">
        <v>0.98000000000000054</v>
      </c>
      <c r="P110">
        <f t="shared" si="12"/>
        <v>0.12804477910575976</v>
      </c>
      <c r="Q110">
        <f t="shared" si="13"/>
        <v>1.9999999999999463E-2</v>
      </c>
      <c r="R110">
        <f t="shared" si="14"/>
        <v>0.87195522089424027</v>
      </c>
      <c r="S110">
        <f>(1-P110)+(1-O110)-1</f>
        <v>-0.10804477910576027</v>
      </c>
    </row>
  </sheetData>
  <mergeCells count="1">
    <mergeCell ref="O31:AB38"/>
  </mergeCells>
  <conditionalFormatting sqref="K24:K38">
    <cfRule type="colorScale" priority="2">
      <colorScale>
        <cfvo type="min"/>
        <cfvo type="percentile" val="50"/>
        <cfvo type="max"/>
        <color rgb="FFF8696B"/>
        <color rgb="FFFCFCFF"/>
        <color rgb="FF5A8AC6"/>
      </colorScale>
    </cfRule>
  </conditionalFormatting>
  <conditionalFormatting sqref="L24:L38">
    <cfRule type="colorScale" priority="3">
      <colorScale>
        <cfvo type="min"/>
        <cfvo type="percentile" val="50"/>
        <cfvo type="max"/>
        <color rgb="FFF8696B"/>
        <color rgb="FFFCFCFF"/>
        <color rgb="FF5A8AC6"/>
      </colorScale>
    </cfRule>
  </conditionalFormatting>
  <conditionalFormatting sqref="M24:M38">
    <cfRule type="colorScale" priority="4">
      <colorScale>
        <cfvo type="min"/>
        <cfvo type="percentile" val="50"/>
        <cfvo type="max"/>
        <color rgb="FF5A8AC6"/>
        <color rgb="FFFCFCFF"/>
        <color rgb="FFF8696B"/>
      </colorScale>
    </cfRule>
  </conditionalFormatting>
  <conditionalFormatting sqref="S62:S110">
    <cfRule type="colorScale" priority="1">
      <colorScale>
        <cfvo type="min"/>
        <cfvo type="percentile" val="50"/>
        <cfvo type="max"/>
        <color rgb="FF5A8AC6"/>
        <color rgb="FFFCFCFF"/>
        <color rgb="FFF8696B"/>
      </colorScale>
    </cfRule>
  </conditionalFormatting>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6DE1B-976A-4CA8-90AF-D5AD3C3C5243}">
  <dimension ref="A3:U39"/>
  <sheetViews>
    <sheetView topLeftCell="E7" workbookViewId="0">
      <selection activeCell="W29" sqref="W29"/>
    </sheetView>
  </sheetViews>
  <sheetFormatPr defaultRowHeight="14.4" x14ac:dyDescent="0.3"/>
  <cols>
    <col min="1" max="1" width="12.44140625" bestFit="1" customWidth="1"/>
    <col min="2" max="2" width="15.6640625" bestFit="1" customWidth="1"/>
    <col min="3" max="4" width="9.6640625" bestFit="1" customWidth="1"/>
    <col min="5" max="5" width="13.44140625" bestFit="1" customWidth="1"/>
    <col min="6" max="6" width="9.6640625" bestFit="1" customWidth="1"/>
    <col min="7" max="7" width="10.109375" bestFit="1" customWidth="1"/>
    <col min="8" max="8" width="17.77734375" bestFit="1" customWidth="1"/>
    <col min="9" max="9" width="18" bestFit="1" customWidth="1"/>
    <col min="10" max="10" width="10.21875" bestFit="1" customWidth="1"/>
    <col min="11" max="11" width="6.88671875" customWidth="1"/>
    <col min="12" max="12" width="10.88671875" bestFit="1" customWidth="1"/>
    <col min="13" max="15" width="5.5546875" bestFit="1" customWidth="1"/>
    <col min="16" max="16" width="10.21875" bestFit="1" customWidth="1"/>
    <col min="17" max="17" width="10.44140625" bestFit="1" customWidth="1"/>
    <col min="18" max="18" width="10.21875" bestFit="1" customWidth="1"/>
    <col min="19" max="19" width="10.44140625" bestFit="1" customWidth="1"/>
    <col min="20" max="20" width="10.21875" bestFit="1" customWidth="1"/>
    <col min="21" max="21" width="10.44140625" bestFit="1" customWidth="1"/>
    <col min="22" max="22" width="10.21875" bestFit="1" customWidth="1"/>
    <col min="23" max="23" width="10.44140625" bestFit="1" customWidth="1"/>
    <col min="24" max="24" width="19.33203125" bestFit="1" customWidth="1"/>
    <col min="25" max="25" width="19.5546875" bestFit="1" customWidth="1"/>
    <col min="26" max="26" width="10.21875" bestFit="1" customWidth="1"/>
    <col min="27" max="27" width="10.44140625" bestFit="1" customWidth="1"/>
    <col min="28" max="28" width="10.21875" bestFit="1" customWidth="1"/>
    <col min="29" max="29" width="10.44140625" bestFit="1" customWidth="1"/>
    <col min="30" max="30" width="10.21875" bestFit="1" customWidth="1"/>
    <col min="31" max="31" width="10.44140625" bestFit="1" customWidth="1"/>
    <col min="32" max="32" width="10.21875" bestFit="1" customWidth="1"/>
    <col min="33" max="33" width="10.44140625" bestFit="1" customWidth="1"/>
    <col min="34" max="34" width="10.21875" bestFit="1" customWidth="1"/>
    <col min="35" max="35" width="10.44140625" bestFit="1" customWidth="1"/>
    <col min="36" max="36" width="19.33203125" bestFit="1" customWidth="1"/>
    <col min="37" max="37" width="19.5546875" bestFit="1" customWidth="1"/>
    <col min="38" max="38" width="14.77734375" bestFit="1" customWidth="1"/>
    <col min="39" max="39" width="15" bestFit="1" customWidth="1"/>
  </cols>
  <sheetData>
    <row r="3" spans="1:21" x14ac:dyDescent="0.3">
      <c r="B3" s="5" t="s">
        <v>112</v>
      </c>
    </row>
    <row r="4" spans="1:21" x14ac:dyDescent="0.3">
      <c r="B4" t="s">
        <v>114</v>
      </c>
      <c r="E4" t="s">
        <v>116</v>
      </c>
      <c r="H4" t="s">
        <v>113</v>
      </c>
      <c r="I4" t="s">
        <v>115</v>
      </c>
      <c r="K4" s="15" t="s">
        <v>3</v>
      </c>
      <c r="L4" s="15" t="s">
        <v>98</v>
      </c>
      <c r="M4" s="32" t="s">
        <v>122</v>
      </c>
      <c r="N4" s="32"/>
      <c r="O4" s="32"/>
    </row>
    <row r="5" spans="1:21" x14ac:dyDescent="0.3">
      <c r="A5" s="5" t="s">
        <v>90</v>
      </c>
      <c r="B5" s="2">
        <v>0.54647760000000001</v>
      </c>
      <c r="C5" s="2">
        <v>0.8061161</v>
      </c>
      <c r="D5" s="2">
        <v>0.94959170000000004</v>
      </c>
      <c r="E5" s="2">
        <v>0.54647760000000001</v>
      </c>
      <c r="F5" s="2">
        <v>0.8061161</v>
      </c>
      <c r="G5" s="2">
        <v>0.94959170000000004</v>
      </c>
      <c r="M5" s="28">
        <v>0.54647760000000001</v>
      </c>
      <c r="N5" s="28">
        <v>0.8061161</v>
      </c>
      <c r="O5" s="28">
        <v>0.94959170000000004</v>
      </c>
    </row>
    <row r="6" spans="1:21" x14ac:dyDescent="0.3">
      <c r="A6" s="8">
        <v>0</v>
      </c>
      <c r="B6" s="27">
        <v>1.0508431121191205E-2</v>
      </c>
      <c r="C6" s="27">
        <v>2.2892219702198994E-3</v>
      </c>
      <c r="D6" s="27">
        <v>9.9526673898037675E-4</v>
      </c>
      <c r="E6" s="27">
        <v>0.41985185185185186</v>
      </c>
      <c r="F6" s="27">
        <v>0.70992592592592596</v>
      </c>
      <c r="G6" s="27">
        <v>1</v>
      </c>
      <c r="H6" s="27">
        <v>4.597639943463825E-3</v>
      </c>
      <c r="I6" s="27">
        <v>0.70992592592592596</v>
      </c>
      <c r="K6" s="15">
        <v>0</v>
      </c>
      <c r="L6" s="29" t="s">
        <v>121</v>
      </c>
      <c r="M6" s="18">
        <f>((1-B6)+(1-E6))/2</f>
        <v>0.78481985851347846</v>
      </c>
      <c r="N6" s="18">
        <f t="shared" ref="N6:O20" si="0">((1-C6)+(1-F6))/2</f>
        <v>0.64389242605192709</v>
      </c>
      <c r="O6" s="18">
        <f t="shared" si="0"/>
        <v>0.49950236663050979</v>
      </c>
    </row>
    <row r="7" spans="1:21" x14ac:dyDescent="0.3">
      <c r="A7" s="7">
        <v>1</v>
      </c>
      <c r="B7" s="27">
        <v>4.9507445025145452E-2</v>
      </c>
      <c r="C7" s="27">
        <v>1.1367222167439109E-2</v>
      </c>
      <c r="D7" s="27">
        <v>4.9763336949018838E-3</v>
      </c>
      <c r="E7" s="27">
        <v>0.33333333333333331</v>
      </c>
      <c r="F7" s="27">
        <v>0.66666666666666663</v>
      </c>
      <c r="G7" s="27">
        <v>1</v>
      </c>
      <c r="H7" s="27">
        <v>2.1950333629162145E-2</v>
      </c>
      <c r="I7" s="27">
        <v>0.66666666666666663</v>
      </c>
      <c r="L7" s="25">
        <v>1</v>
      </c>
      <c r="M7" s="1">
        <f t="shared" ref="M7:M23" si="1">((1-B7)+(1-E7))/2</f>
        <v>0.80857961082076057</v>
      </c>
      <c r="N7" s="1">
        <f t="shared" si="0"/>
        <v>0.66098305558294712</v>
      </c>
      <c r="O7" s="1">
        <f t="shared" si="0"/>
        <v>0.49751183315254904</v>
      </c>
    </row>
    <row r="8" spans="1:21" x14ac:dyDescent="0.3">
      <c r="A8" s="7">
        <v>8</v>
      </c>
      <c r="B8" s="27">
        <v>2.4479834335864314E-3</v>
      </c>
      <c r="C8" s="27">
        <v>2.4652401143871413E-5</v>
      </c>
      <c r="D8" s="27">
        <v>0</v>
      </c>
      <c r="E8" s="27">
        <v>0.33629629629629632</v>
      </c>
      <c r="F8" s="27">
        <v>0.66814814814814816</v>
      </c>
      <c r="G8" s="27">
        <v>1</v>
      </c>
      <c r="H8" s="27">
        <v>8.2421194491010105E-4</v>
      </c>
      <c r="I8" s="27">
        <v>0.66814814814814805</v>
      </c>
      <c r="L8" s="25">
        <v>8</v>
      </c>
      <c r="M8" s="1">
        <f t="shared" si="1"/>
        <v>0.83062786013505863</v>
      </c>
      <c r="N8" s="1">
        <f t="shared" si="0"/>
        <v>0.66591359972535402</v>
      </c>
      <c r="O8" s="1">
        <f t="shared" si="0"/>
        <v>0.5</v>
      </c>
      <c r="S8" t="s">
        <v>124</v>
      </c>
      <c r="T8" t="s">
        <v>123</v>
      </c>
      <c r="U8" t="s">
        <v>125</v>
      </c>
    </row>
    <row r="9" spans="1:21" x14ac:dyDescent="0.3">
      <c r="A9" s="7">
        <v>27</v>
      </c>
      <c r="B9" s="27">
        <v>2.6328764421654671E-4</v>
      </c>
      <c r="C9" s="27">
        <v>2.3173257075239128E-5</v>
      </c>
      <c r="D9" s="27">
        <v>0</v>
      </c>
      <c r="E9" s="27">
        <v>0.36</v>
      </c>
      <c r="F9" s="27">
        <v>0.68</v>
      </c>
      <c r="G9" s="27">
        <v>1</v>
      </c>
      <c r="H9" s="27">
        <v>9.5486967097261946E-5</v>
      </c>
      <c r="I9" s="27">
        <v>0.68</v>
      </c>
      <c r="L9" s="25">
        <v>27</v>
      </c>
      <c r="M9" s="1">
        <f t="shared" si="1"/>
        <v>0.81986835617789167</v>
      </c>
      <c r="N9" s="1">
        <f t="shared" si="0"/>
        <v>0.65998841337146241</v>
      </c>
      <c r="O9" s="1">
        <f t="shared" si="0"/>
        <v>0.5</v>
      </c>
      <c r="S9">
        <v>1</v>
      </c>
      <c r="T9" t="e">
        <f>_xlfn.T.INV(0.95,S9-1)</f>
        <v>#NUM!</v>
      </c>
      <c r="U9" t="e">
        <f>T9/SQRT(S9)</f>
        <v>#NUM!</v>
      </c>
    </row>
    <row r="10" spans="1:21" x14ac:dyDescent="0.3">
      <c r="A10" s="7">
        <v>64</v>
      </c>
      <c r="B10" s="27">
        <v>2.12996745883049E-4</v>
      </c>
      <c r="C10" s="27">
        <v>1.8735824869342274E-5</v>
      </c>
      <c r="D10" s="27">
        <v>0</v>
      </c>
      <c r="E10" s="27">
        <v>0.44</v>
      </c>
      <c r="F10" s="27">
        <v>0.72</v>
      </c>
      <c r="G10" s="27">
        <v>1</v>
      </c>
      <c r="H10" s="27">
        <v>7.7244190250797085E-5</v>
      </c>
      <c r="I10" s="27">
        <v>0.72000000000000008</v>
      </c>
      <c r="L10" s="25">
        <v>64</v>
      </c>
      <c r="M10" s="1">
        <f t="shared" si="1"/>
        <v>0.77989350162705851</v>
      </c>
      <c r="N10" s="1">
        <f t="shared" si="0"/>
        <v>0.63999063208756535</v>
      </c>
      <c r="O10" s="1">
        <f t="shared" si="0"/>
        <v>0.5</v>
      </c>
      <c r="S10">
        <v>2</v>
      </c>
      <c r="T10">
        <f t="shared" ref="T10:T39" si="2">_xlfn.T.INV(0.95,S10-1)</f>
        <v>6.3137515146750376</v>
      </c>
      <c r="U10">
        <f t="shared" ref="U10:U39" si="3">T10/SQRT(S10)</f>
        <v>4.4644965107535546</v>
      </c>
    </row>
    <row r="11" spans="1:21" x14ac:dyDescent="0.3">
      <c r="A11" s="7">
        <v>125</v>
      </c>
      <c r="B11" s="27">
        <v>1.1044275712454392E-4</v>
      </c>
      <c r="C11" s="27">
        <v>1.2326200571935707E-5</v>
      </c>
      <c r="D11" s="27">
        <v>0</v>
      </c>
      <c r="E11" s="27">
        <v>0.62962962962962965</v>
      </c>
      <c r="F11" s="27">
        <v>0.81481481481481477</v>
      </c>
      <c r="G11" s="27">
        <v>1</v>
      </c>
      <c r="H11" s="27">
        <v>4.0922985898826545E-5</v>
      </c>
      <c r="I11" s="27">
        <v>0.81481481481481488</v>
      </c>
      <c r="K11" s="23"/>
      <c r="L11" s="26">
        <v>125</v>
      </c>
      <c r="M11" s="24">
        <f t="shared" si="1"/>
        <v>0.68512996380662283</v>
      </c>
      <c r="N11" s="24">
        <f t="shared" si="0"/>
        <v>0.59258642949230667</v>
      </c>
      <c r="O11" s="24">
        <f t="shared" si="0"/>
        <v>0.5</v>
      </c>
      <c r="S11">
        <v>3</v>
      </c>
      <c r="T11">
        <f t="shared" si="2"/>
        <v>2.9199855803537247</v>
      </c>
      <c r="U11">
        <f t="shared" si="3"/>
        <v>1.6858544608470487</v>
      </c>
    </row>
    <row r="12" spans="1:21" x14ac:dyDescent="0.3">
      <c r="A12" s="8">
        <v>150</v>
      </c>
      <c r="B12" s="27">
        <v>2.0690661670446704E-2</v>
      </c>
      <c r="C12" s="27">
        <v>2.8111626072379451E-3</v>
      </c>
      <c r="D12" s="27">
        <v>1.0698156000394437E-3</v>
      </c>
      <c r="E12" s="27">
        <v>0.24162962962962964</v>
      </c>
      <c r="F12" s="27">
        <v>0.67344444444444451</v>
      </c>
      <c r="G12" s="27">
        <v>0.92496296296296288</v>
      </c>
      <c r="H12" s="27">
        <v>8.1905466259080302E-3</v>
      </c>
      <c r="I12" s="27">
        <v>0.61334567901234571</v>
      </c>
      <c r="K12" s="15">
        <v>150</v>
      </c>
      <c r="L12" s="29" t="s">
        <v>121</v>
      </c>
      <c r="M12" s="18">
        <f t="shared" si="1"/>
        <v>0.8688398543499618</v>
      </c>
      <c r="N12" s="18">
        <f t="shared" si="0"/>
        <v>0.66187219647415874</v>
      </c>
      <c r="O12" s="18">
        <f t="shared" si="0"/>
        <v>0.53698361071849887</v>
      </c>
      <c r="S12">
        <v>4</v>
      </c>
      <c r="T12">
        <f t="shared" si="2"/>
        <v>2.3533634348018233</v>
      </c>
      <c r="U12">
        <f t="shared" si="3"/>
        <v>1.1766817174009117</v>
      </c>
    </row>
    <row r="13" spans="1:21" x14ac:dyDescent="0.3">
      <c r="A13" s="7">
        <v>1</v>
      </c>
      <c r="B13" s="27">
        <v>4.9633172270979194E-2</v>
      </c>
      <c r="C13" s="27">
        <v>1.1299181540282024E-2</v>
      </c>
      <c r="D13" s="27">
        <v>4.9008973474016365E-3</v>
      </c>
      <c r="E13" s="27">
        <v>0.17703703703703705</v>
      </c>
      <c r="F13" s="27">
        <v>0.57611111111111113</v>
      </c>
      <c r="G13" s="27">
        <v>0.86981481481481482</v>
      </c>
      <c r="H13" s="27">
        <v>2.1944417052887619E-2</v>
      </c>
      <c r="I13" s="27">
        <v>0.54098765432098761</v>
      </c>
      <c r="L13" s="25">
        <v>1</v>
      </c>
      <c r="M13" s="1">
        <f t="shared" si="1"/>
        <v>0.88666489534599191</v>
      </c>
      <c r="N13" s="1">
        <f t="shared" si="0"/>
        <v>0.70629485367430345</v>
      </c>
      <c r="O13" s="1">
        <f t="shared" si="0"/>
        <v>0.56264214391889178</v>
      </c>
      <c r="S13">
        <v>5</v>
      </c>
      <c r="T13">
        <f t="shared" si="2"/>
        <v>2.131846786326649</v>
      </c>
      <c r="U13">
        <f t="shared" si="3"/>
        <v>0.95339086636817127</v>
      </c>
    </row>
    <row r="14" spans="1:21" x14ac:dyDescent="0.3">
      <c r="A14" s="7">
        <v>8</v>
      </c>
      <c r="B14" s="27">
        <v>3.3168326595010351E-2</v>
      </c>
      <c r="C14" s="27">
        <v>2.0934819051375603E-3</v>
      </c>
      <c r="D14" s="27">
        <v>3.5400848042599348E-4</v>
      </c>
      <c r="E14" s="27">
        <v>0.17962962962962964</v>
      </c>
      <c r="F14" s="27">
        <v>0.58611111111111114</v>
      </c>
      <c r="G14" s="27">
        <v>0.87962962962962965</v>
      </c>
      <c r="H14" s="27">
        <v>1.1871938993524636E-2</v>
      </c>
      <c r="I14" s="27">
        <v>0.54845679012345683</v>
      </c>
      <c r="L14" s="25">
        <v>8</v>
      </c>
      <c r="M14" s="1">
        <f t="shared" si="1"/>
        <v>0.89360102188767998</v>
      </c>
      <c r="N14" s="1">
        <f t="shared" si="0"/>
        <v>0.70589770349187564</v>
      </c>
      <c r="O14" s="1">
        <f t="shared" si="0"/>
        <v>0.56000818094497218</v>
      </c>
      <c r="S14">
        <v>6</v>
      </c>
      <c r="T14">
        <f t="shared" si="2"/>
        <v>2.0150483733330233</v>
      </c>
      <c r="U14">
        <f t="shared" si="3"/>
        <v>0.82264005361519488</v>
      </c>
    </row>
    <row r="15" spans="1:21" x14ac:dyDescent="0.3">
      <c r="A15" s="7">
        <v>27</v>
      </c>
      <c r="B15" s="27">
        <v>1.4022285770634059E-2</v>
      </c>
      <c r="C15" s="27">
        <v>3.4365447194556752E-4</v>
      </c>
      <c r="D15" s="27">
        <v>7.3957203431614243E-5</v>
      </c>
      <c r="E15" s="27">
        <v>0.20018518518518519</v>
      </c>
      <c r="F15" s="27">
        <v>0.63185185185185189</v>
      </c>
      <c r="G15" s="27">
        <v>0.90611111111111109</v>
      </c>
      <c r="H15" s="27">
        <v>4.8132991486704137E-3</v>
      </c>
      <c r="I15" s="27">
        <v>0.57938271604938274</v>
      </c>
      <c r="L15" s="25">
        <v>27</v>
      </c>
      <c r="M15" s="1">
        <f t="shared" si="1"/>
        <v>0.89289626452209037</v>
      </c>
      <c r="N15" s="1">
        <f t="shared" si="0"/>
        <v>0.6839022468381013</v>
      </c>
      <c r="O15" s="1">
        <f t="shared" si="0"/>
        <v>0.54690746584272865</v>
      </c>
      <c r="S15">
        <v>7</v>
      </c>
      <c r="T15">
        <f t="shared" si="2"/>
        <v>1.9431802805153022</v>
      </c>
      <c r="U15">
        <f t="shared" si="3"/>
        <v>0.73445311068688846</v>
      </c>
    </row>
    <row r="16" spans="1:21" x14ac:dyDescent="0.3">
      <c r="A16" s="7">
        <v>64</v>
      </c>
      <c r="B16" s="27">
        <v>4.6642342964204712E-3</v>
      </c>
      <c r="C16" s="27">
        <v>2.3271866679814613E-4</v>
      </c>
      <c r="D16" s="27">
        <v>2.021496893797456E-5</v>
      </c>
      <c r="E16" s="27">
        <v>0.2638888888888889</v>
      </c>
      <c r="F16" s="27">
        <v>0.71740740740740738</v>
      </c>
      <c r="G16" s="27">
        <v>0.96925925925925926</v>
      </c>
      <c r="H16" s="27">
        <v>1.6390559773855305E-3</v>
      </c>
      <c r="I16" s="27">
        <v>0.6501851851851852</v>
      </c>
      <c r="L16" s="25">
        <v>64</v>
      </c>
      <c r="M16" s="1">
        <f t="shared" si="1"/>
        <v>0.86572343840734534</v>
      </c>
      <c r="N16" s="1">
        <f t="shared" si="0"/>
        <v>0.64117993696289721</v>
      </c>
      <c r="O16" s="1">
        <f t="shared" si="0"/>
        <v>0.51536026288590131</v>
      </c>
      <c r="S16">
        <v>8</v>
      </c>
      <c r="T16">
        <f t="shared" si="2"/>
        <v>1.8945786050900069</v>
      </c>
      <c r="U16">
        <f t="shared" si="3"/>
        <v>0.66983468957504688</v>
      </c>
    </row>
    <row r="17" spans="1:21" x14ac:dyDescent="0.3">
      <c r="A17" s="7">
        <v>125</v>
      </c>
      <c r="B17" s="27">
        <v>1.9652894191894291E-3</v>
      </c>
      <c r="C17" s="27">
        <v>8.6776452026427367E-5</v>
      </c>
      <c r="D17" s="27">
        <v>0</v>
      </c>
      <c r="E17" s="27">
        <v>0.38740740740740742</v>
      </c>
      <c r="F17" s="27">
        <v>0.85574074074074069</v>
      </c>
      <c r="G17" s="27">
        <v>1</v>
      </c>
      <c r="H17" s="27">
        <v>6.8402195707195212E-4</v>
      </c>
      <c r="I17" s="27">
        <v>0.74771604938271607</v>
      </c>
      <c r="K17" s="23"/>
      <c r="L17" s="26">
        <v>125</v>
      </c>
      <c r="M17" s="24">
        <f t="shared" si="1"/>
        <v>0.80531365158670165</v>
      </c>
      <c r="N17" s="24">
        <f t="shared" si="0"/>
        <v>0.57208624140361641</v>
      </c>
      <c r="O17" s="24">
        <f t="shared" si="0"/>
        <v>0.5</v>
      </c>
      <c r="S17">
        <v>9</v>
      </c>
      <c r="T17">
        <f t="shared" si="2"/>
        <v>1.8595480375308975</v>
      </c>
      <c r="U17">
        <f t="shared" si="3"/>
        <v>0.61984934584363249</v>
      </c>
    </row>
    <row r="18" spans="1:21" x14ac:dyDescent="0.3">
      <c r="A18" s="8">
        <v>300</v>
      </c>
      <c r="B18" s="27">
        <v>3.4680011833152551E-2</v>
      </c>
      <c r="C18" s="27">
        <v>4.8023863524307266E-3</v>
      </c>
      <c r="D18" s="27">
        <v>1.4757913420767185E-3</v>
      </c>
      <c r="E18" s="27">
        <v>0.19699999999999998</v>
      </c>
      <c r="F18" s="27">
        <v>0.62781481481481483</v>
      </c>
      <c r="G18" s="27">
        <v>0.91648148148148145</v>
      </c>
      <c r="H18" s="27">
        <v>1.3652729842553332E-2</v>
      </c>
      <c r="I18" s="27">
        <v>0.58043209876543211</v>
      </c>
      <c r="K18" s="15">
        <v>300</v>
      </c>
      <c r="L18" s="29" t="s">
        <v>121</v>
      </c>
      <c r="M18" s="18">
        <f t="shared" si="1"/>
        <v>0.88415999408342372</v>
      </c>
      <c r="N18" s="18">
        <f t="shared" si="0"/>
        <v>0.68369139941637724</v>
      </c>
      <c r="O18" s="18">
        <f t="shared" si="0"/>
        <v>0.54102136358822084</v>
      </c>
      <c r="S18">
        <v>10</v>
      </c>
      <c r="T18">
        <f t="shared" si="2"/>
        <v>1.8331129326562368</v>
      </c>
      <c r="U18">
        <f t="shared" si="3"/>
        <v>0.57968120755045605</v>
      </c>
    </row>
    <row r="19" spans="1:21" x14ac:dyDescent="0.3">
      <c r="A19" s="7">
        <v>1</v>
      </c>
      <c r="B19" s="27">
        <v>4.7563356670939749E-2</v>
      </c>
      <c r="C19" s="27">
        <v>1.0070012819248594E-2</v>
      </c>
      <c r="D19" s="27">
        <v>3.9951681293758012E-3</v>
      </c>
      <c r="E19" s="27">
        <v>0.17888888888888888</v>
      </c>
      <c r="F19" s="27">
        <v>0.59092592592592597</v>
      </c>
      <c r="G19" s="27">
        <v>0.88111111111111107</v>
      </c>
      <c r="H19" s="27">
        <v>2.054284587318805E-2</v>
      </c>
      <c r="I19" s="27">
        <v>0.5503086419753086</v>
      </c>
      <c r="L19" s="25">
        <v>1</v>
      </c>
      <c r="M19" s="1">
        <f t="shared" si="1"/>
        <v>0.88677387722008572</v>
      </c>
      <c r="N19" s="1">
        <f t="shared" si="0"/>
        <v>0.69950203062741267</v>
      </c>
      <c r="O19" s="1">
        <f t="shared" si="0"/>
        <v>0.55744686037975655</v>
      </c>
      <c r="S19">
        <v>11</v>
      </c>
      <c r="T19">
        <f t="shared" si="2"/>
        <v>1.8124611228116754</v>
      </c>
      <c r="U19">
        <f t="shared" si="3"/>
        <v>0.54647759013387143</v>
      </c>
    </row>
    <row r="20" spans="1:21" x14ac:dyDescent="0.3">
      <c r="A20" s="7">
        <v>8</v>
      </c>
      <c r="B20" s="27">
        <v>4.4825460999901388E-2</v>
      </c>
      <c r="C20" s="27">
        <v>7.7142293659402429E-3</v>
      </c>
      <c r="D20" s="27">
        <v>2.4317128488314764E-3</v>
      </c>
      <c r="E20" s="27">
        <v>0.18111111111111111</v>
      </c>
      <c r="F20" s="27">
        <v>0.59333333333333338</v>
      </c>
      <c r="G20" s="27">
        <v>0.88351851851851848</v>
      </c>
      <c r="H20" s="27">
        <v>1.8323801071557705E-2</v>
      </c>
      <c r="I20" s="27">
        <v>0.55265432098765432</v>
      </c>
      <c r="L20" s="25">
        <v>8</v>
      </c>
      <c r="M20" s="1">
        <f t="shared" si="1"/>
        <v>0.88703171394449376</v>
      </c>
      <c r="N20" s="1">
        <f t="shared" si="0"/>
        <v>0.69947621865036314</v>
      </c>
      <c r="O20" s="1">
        <f t="shared" si="0"/>
        <v>0.55702488431632502</v>
      </c>
      <c r="S20">
        <v>12</v>
      </c>
      <c r="T20">
        <f t="shared" si="2"/>
        <v>1.795884818704043</v>
      </c>
      <c r="U20">
        <f t="shared" si="3"/>
        <v>0.51842729175617075</v>
      </c>
    </row>
    <row r="21" spans="1:21" x14ac:dyDescent="0.3">
      <c r="A21" s="7">
        <v>27</v>
      </c>
      <c r="B21" s="27">
        <v>3.6903165368306873E-2</v>
      </c>
      <c r="C21" s="27">
        <v>3.6500345133616014E-3</v>
      </c>
      <c r="D21" s="27">
        <v>7.0062124050882554E-4</v>
      </c>
      <c r="E21" s="27">
        <v>0.18703703703703703</v>
      </c>
      <c r="F21" s="27">
        <v>0.60240740740740739</v>
      </c>
      <c r="G21" s="27">
        <v>0.8968518518518519</v>
      </c>
      <c r="H21" s="27">
        <v>1.3751273707392432E-2</v>
      </c>
      <c r="I21" s="27">
        <v>0.5620987654320988</v>
      </c>
      <c r="L21" s="25">
        <v>27</v>
      </c>
      <c r="M21" s="1">
        <f t="shared" si="1"/>
        <v>0.88802989879732808</v>
      </c>
      <c r="N21" s="1">
        <f t="shared" ref="N21:N23" si="4">((1-C21)+(1-F21))/2</f>
        <v>0.69697127903961542</v>
      </c>
      <c r="O21" s="1">
        <f t="shared" ref="O21:O23" si="5">((1-D21)+(1-G21))/2</f>
        <v>0.55122376345381963</v>
      </c>
      <c r="S21">
        <v>13</v>
      </c>
      <c r="T21">
        <f t="shared" si="2"/>
        <v>1.7822875556493194</v>
      </c>
      <c r="U21">
        <f t="shared" si="3"/>
        <v>0.49431762842423077</v>
      </c>
    </row>
    <row r="22" spans="1:21" x14ac:dyDescent="0.3">
      <c r="A22" s="7">
        <v>64</v>
      </c>
      <c r="B22" s="27">
        <v>2.6497386845478751E-2</v>
      </c>
      <c r="C22" s="27">
        <v>1.6477664924563653E-3</v>
      </c>
      <c r="D22" s="27">
        <v>2.5145449166748843E-4</v>
      </c>
      <c r="E22" s="27">
        <v>0.19925925925925925</v>
      </c>
      <c r="F22" s="27">
        <v>0.64962962962962967</v>
      </c>
      <c r="G22" s="27">
        <v>0.92092592592592593</v>
      </c>
      <c r="H22" s="27">
        <v>9.4655359432008687E-3</v>
      </c>
      <c r="I22" s="27">
        <v>0.58993827160493828</v>
      </c>
      <c r="L22" s="25">
        <v>64</v>
      </c>
      <c r="M22" s="1">
        <f t="shared" si="1"/>
        <v>0.887121676947631</v>
      </c>
      <c r="N22" s="1">
        <f t="shared" si="4"/>
        <v>0.67436130193895694</v>
      </c>
      <c r="O22" s="1">
        <f t="shared" si="5"/>
        <v>0.53941130979120322</v>
      </c>
      <c r="S22">
        <v>14</v>
      </c>
      <c r="T22">
        <f t="shared" si="2"/>
        <v>1.7709333959868729</v>
      </c>
      <c r="U22">
        <f t="shared" si="3"/>
        <v>0.4733018587556389</v>
      </c>
    </row>
    <row r="23" spans="1:21" x14ac:dyDescent="0.3">
      <c r="A23" s="7">
        <v>125</v>
      </c>
      <c r="B23" s="27">
        <v>1.7610689281135981E-2</v>
      </c>
      <c r="C23" s="27">
        <v>9.2988857114682973E-4</v>
      </c>
      <c r="D23" s="27">
        <v>0</v>
      </c>
      <c r="E23" s="27">
        <v>0.2387037037037037</v>
      </c>
      <c r="F23" s="27">
        <v>0.70277777777777772</v>
      </c>
      <c r="G23" s="27">
        <v>1</v>
      </c>
      <c r="H23" s="27">
        <v>6.1801926174276031E-3</v>
      </c>
      <c r="I23" s="27">
        <v>0.64716049382716045</v>
      </c>
      <c r="L23" s="25">
        <v>125</v>
      </c>
      <c r="M23" s="1">
        <f t="shared" si="1"/>
        <v>0.87184280350758026</v>
      </c>
      <c r="N23" s="1">
        <f t="shared" si="4"/>
        <v>0.64814616682553772</v>
      </c>
      <c r="O23" s="1">
        <f t="shared" si="5"/>
        <v>0.5</v>
      </c>
      <c r="S23">
        <v>15</v>
      </c>
      <c r="T23">
        <f t="shared" si="2"/>
        <v>1.7613101357748921</v>
      </c>
      <c r="U23">
        <f t="shared" si="3"/>
        <v>0.45476832155749874</v>
      </c>
    </row>
    <row r="24" spans="1:21" x14ac:dyDescent="0.3">
      <c r="A24" s="8" t="s">
        <v>91</v>
      </c>
      <c r="B24" s="1">
        <v>2.1959701541596818E-2</v>
      </c>
      <c r="C24" s="1">
        <v>3.3009236432961905E-3</v>
      </c>
      <c r="D24" s="1">
        <v>1.1802912270321799E-3</v>
      </c>
      <c r="E24" s="1">
        <v>0.28616049382716047</v>
      </c>
      <c r="F24" s="1">
        <v>0.67039506172839503</v>
      </c>
      <c r="G24" s="1">
        <v>0.94714814814814807</v>
      </c>
      <c r="H24" s="1">
        <v>8.813638803975064E-3</v>
      </c>
      <c r="I24" s="1">
        <v>0.63456790123456797</v>
      </c>
      <c r="S24">
        <v>16</v>
      </c>
      <c r="T24">
        <f t="shared" si="2"/>
        <v>1.7530503556925723</v>
      </c>
      <c r="U24">
        <f t="shared" si="3"/>
        <v>0.43826258892314307</v>
      </c>
    </row>
    <row r="25" spans="1:21" x14ac:dyDescent="0.3">
      <c r="S25">
        <v>17</v>
      </c>
      <c r="T25">
        <f t="shared" si="2"/>
        <v>1.7458836762762506</v>
      </c>
      <c r="U25">
        <f t="shared" si="3"/>
        <v>0.42343898866639124</v>
      </c>
    </row>
    <row r="26" spans="1:21" x14ac:dyDescent="0.3">
      <c r="S26">
        <v>18</v>
      </c>
      <c r="T26">
        <f t="shared" si="2"/>
        <v>1.7396067260750721</v>
      </c>
      <c r="U26">
        <f t="shared" si="3"/>
        <v>0.41002923753513748</v>
      </c>
    </row>
    <row r="27" spans="1:21" x14ac:dyDescent="0.3">
      <c r="S27">
        <v>19</v>
      </c>
      <c r="T27">
        <f t="shared" si="2"/>
        <v>1.7340636066175383</v>
      </c>
      <c r="U27">
        <f t="shared" si="3"/>
        <v>0.39782147489039565</v>
      </c>
    </row>
    <row r="28" spans="1:21" x14ac:dyDescent="0.3">
      <c r="S28">
        <v>20</v>
      </c>
      <c r="T28">
        <f t="shared" si="2"/>
        <v>1.7291328115213698</v>
      </c>
      <c r="U28">
        <f t="shared" si="3"/>
        <v>0.38664585086871139</v>
      </c>
    </row>
    <row r="29" spans="1:21" x14ac:dyDescent="0.3">
      <c r="S29">
        <v>21</v>
      </c>
      <c r="T29">
        <f t="shared" si="2"/>
        <v>1.7247182429207868</v>
      </c>
      <c r="U29">
        <f t="shared" si="3"/>
        <v>0.37636437622170194</v>
      </c>
    </row>
    <row r="30" spans="1:21" x14ac:dyDescent="0.3">
      <c r="S30">
        <v>22</v>
      </c>
      <c r="T30">
        <f t="shared" si="2"/>
        <v>1.7207429028118781</v>
      </c>
      <c r="U30">
        <f t="shared" si="3"/>
        <v>0.36686361954332497</v>
      </c>
    </row>
    <row r="31" spans="1:21" x14ac:dyDescent="0.3">
      <c r="S31">
        <v>23</v>
      </c>
      <c r="T31">
        <f t="shared" si="2"/>
        <v>1.7171443743802424</v>
      </c>
      <c r="U31">
        <f t="shared" si="3"/>
        <v>0.3580493530752985</v>
      </c>
    </row>
    <row r="32" spans="1:21" x14ac:dyDescent="0.3">
      <c r="S32">
        <v>24</v>
      </c>
      <c r="T32">
        <f t="shared" si="2"/>
        <v>1.7138715277470482</v>
      </c>
      <c r="U32">
        <f t="shared" si="3"/>
        <v>0.34984256063871083</v>
      </c>
    </row>
    <row r="33" spans="19:21" x14ac:dyDescent="0.3">
      <c r="S33">
        <v>25</v>
      </c>
      <c r="T33">
        <f t="shared" si="2"/>
        <v>1.7108820799094284</v>
      </c>
      <c r="U33">
        <f t="shared" si="3"/>
        <v>0.3421764159818857</v>
      </c>
    </row>
    <row r="34" spans="19:21" x14ac:dyDescent="0.3">
      <c r="S34">
        <v>26</v>
      </c>
      <c r="T34">
        <f t="shared" si="2"/>
        <v>1.7081407612518986</v>
      </c>
      <c r="U34">
        <f t="shared" si="3"/>
        <v>0.33499396436871792</v>
      </c>
    </row>
    <row r="35" spans="19:21" x14ac:dyDescent="0.3">
      <c r="S35">
        <v>27</v>
      </c>
      <c r="T35">
        <f t="shared" si="2"/>
        <v>1.7056179197592722</v>
      </c>
      <c r="U35">
        <f t="shared" si="3"/>
        <v>0.32824632170255513</v>
      </c>
    </row>
    <row r="36" spans="19:21" x14ac:dyDescent="0.3">
      <c r="S36">
        <v>28</v>
      </c>
      <c r="T36">
        <f t="shared" si="2"/>
        <v>1.7032884457221271</v>
      </c>
      <c r="U36">
        <f t="shared" si="3"/>
        <v>0.32189125988503475</v>
      </c>
    </row>
    <row r="37" spans="19:21" x14ac:dyDescent="0.3">
      <c r="S37">
        <v>29</v>
      </c>
      <c r="T37">
        <f t="shared" si="2"/>
        <v>1.7011309342659309</v>
      </c>
      <c r="U37">
        <f t="shared" si="3"/>
        <v>0.31589208412195624</v>
      </c>
    </row>
    <row r="38" spans="19:21" x14ac:dyDescent="0.3">
      <c r="S38">
        <v>30</v>
      </c>
      <c r="T38">
        <f t="shared" si="2"/>
        <v>1.6991270265334968</v>
      </c>
      <c r="U38">
        <f t="shared" si="3"/>
        <v>0.3102167334996917</v>
      </c>
    </row>
    <row r="39" spans="19:21" x14ac:dyDescent="0.3">
      <c r="S39">
        <v>31</v>
      </c>
      <c r="T39">
        <f t="shared" si="2"/>
        <v>1.6972608865939567</v>
      </c>
      <c r="U39">
        <f t="shared" si="3"/>
        <v>0.30483705415493934</v>
      </c>
    </row>
  </sheetData>
  <mergeCells count="1">
    <mergeCell ref="M4:O4"/>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3FBD4-A58C-4DE4-BD30-9C8F1604DF28}">
  <dimension ref="A1"/>
  <sheetViews>
    <sheetView workbookViewId="0">
      <selection activeCell="V16" sqref="V16"/>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ConfusionData</vt:lpstr>
      <vt:lpstr>Table</vt:lpstr>
      <vt:lpstr>Table_eFDR</vt:lpstr>
      <vt:lpstr>Smoothness</vt:lpstr>
      <vt:lpstr>Graph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Taylor Uselman</cp:lastModifiedBy>
  <dcterms:created xsi:type="dcterms:W3CDTF">2026-01-22T21:42:31Z</dcterms:created>
  <dcterms:modified xsi:type="dcterms:W3CDTF">2026-03-30T21:42:12Z</dcterms:modified>
</cp:coreProperties>
</file>